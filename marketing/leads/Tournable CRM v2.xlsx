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Лиды" state="visible" r:id="rId4"/>
    <sheet sheetId="2" name="Карта рынка" state="visible" r:id="rId5"/>
    <sheet sheetId="3" name="Воронка" state="visible" r:id="rId6"/>
    <sheet sheetId="4" name="Скрипты" state="visible" r:id="rId7"/>
    <sheet sheetId="5" name="Тест 14 дней" state="visible" r:id="rId8"/>
    <sheet sheetId="6" name="Услуги и цены" state="visible" r:id="rId9"/>
    <sheet sheetId="7" name="Объявления" state="visible" r:id="rId10"/>
    <sheet sheetId="8" name="Метрики" state="visible" r:id="rId11"/>
  </sheets>
  <calcPr calcId="171027"/>
</workbook>
</file>

<file path=xl/sharedStrings.xml><?xml version="1.0" encoding="utf-8"?>
<sst xmlns="http://schemas.openxmlformats.org/spreadsheetml/2006/main" count="3444" uniqueCount="1005">
  <si>
    <t>ID</t>
  </si>
  <si>
    <t>Приоритет</t>
  </si>
  <si>
    <t>Название</t>
  </si>
  <si>
    <t>Вердикт</t>
  </si>
  <si>
    <t>Что у них уже есть</t>
  </si>
  <si>
    <t>Сегмент</t>
  </si>
  <si>
    <t>Спорт</t>
  </si>
  <si>
    <t>Город</t>
  </si>
  <si>
    <t>Масштаб / почему интересен</t>
  </si>
  <si>
    <t>Контактное лицо</t>
  </si>
  <si>
    <t>Телефон</t>
  </si>
  <si>
    <t>Email</t>
  </si>
  <si>
    <t>Сайт</t>
  </si>
  <si>
    <t>Instagram</t>
  </si>
  <si>
    <t>Telegram</t>
  </si>
  <si>
    <t>Канал 1-го касания</t>
  </si>
  <si>
    <t>Скрипт</t>
  </si>
  <si>
    <t>Статус</t>
  </si>
  <si>
    <t>Дата касания</t>
  </si>
  <si>
    <t>Следующий шаг</t>
  </si>
  <si>
    <t>Дата след. шага</t>
  </si>
  <si>
    <t>Потенциал, ₸</t>
  </si>
  <si>
    <t>Источник</t>
  </si>
  <si>
    <t>Заметки</t>
  </si>
  <si>
    <t>A</t>
  </si>
  <si>
    <t>Управление физической культуры и спорта г. Астаны</t>
  </si>
  <si>
    <t>Свободен</t>
  </si>
  <si>
    <t>Нет своей системы</t>
  </si>
  <si>
    <t>Госструктуры</t>
  </si>
  <si>
    <t>Мультиспорт</t>
  </si>
  <si>
    <t>Астана</t>
  </si>
  <si>
    <t>Заказчик городских соревнований и спартакиад</t>
  </si>
  <si>
    <t/>
  </si>
  <si>
    <t>Официальное письмо + визит</t>
  </si>
  <si>
    <t>S7-Гос</t>
  </si>
  <si>
    <t>NEW</t>
  </si>
  <si>
    <t>—</t>
  </si>
  <si>
    <t>Ключ к тендерам на организацию соревнований. Просить включение в перечень поставщиков услуг и подписку на объявления о закупках.</t>
  </si>
  <si>
    <t>Детский центр футбола при Федерации футбола г. Астана</t>
  </si>
  <si>
    <t>WordPress — сайт-визитка</t>
  </si>
  <si>
    <t>Детский спорт</t>
  </si>
  <si>
    <t>Футбол</t>
  </si>
  <si>
    <t>Меморандум с ФЦ ФК «Астана»</t>
  </si>
  <si>
    <t>bfo.kz</t>
  </si>
  <si>
    <t>Звонок</t>
  </si>
  <si>
    <t>S5-Детский</t>
  </si>
  <si>
    <t>Регулярные турниры и просмотры. Родители — вирусный канал: публичная страница игрока с его статистикой продаёт сама себя.</t>
  </si>
  <si>
    <t>ДЮСШ ХК «Барыс»</t>
  </si>
  <si>
    <t>Нет сайта</t>
  </si>
  <si>
    <t>Хоккей</t>
  </si>
  <si>
    <t>+7 7172 61-35-13</t>
  </si>
  <si>
    <t>astana.spravker.ru</t>
  </si>
  <si>
    <t>Доп. тел: +7 700 625 25 65.</t>
  </si>
  <si>
    <t>KESL — Студенческая киберспортивная лига Казахстана</t>
  </si>
  <si>
    <t>Своё, простое</t>
  </si>
  <si>
    <t>Киберспорт</t>
  </si>
  <si>
    <t>Республика</t>
  </si>
  <si>
    <t>12 вузов: КазНУ, Политех, МУИТ, КБТУ, NU</t>
  </si>
  <si>
    <t>Сайдуллаев Р.</t>
  </si>
  <si>
    <t>+7 777 002 81 03</t>
  </si>
  <si>
    <t>rsaidullayev@gmail.com</t>
  </si>
  <si>
    <t>kesl.qcf.kz</t>
  </si>
  <si>
    <t>@qcf.kz</t>
  </si>
  <si>
    <t>t.me/cybersport_kz</t>
  </si>
  <si>
    <t>WhatsApp + email</t>
  </si>
  <si>
    <t>S2-Универ</t>
  </si>
  <si>
    <t>kesl.qcf.kz (проверено 2026-08-01)</t>
  </si>
  <si>
    <t>Есть прямой личный контакт организатора — приоритет по скорости ответа. Дисциплины PUBG Mobile, CS, Starcraft II.</t>
  </si>
  <si>
    <t>Qazaq CyberSport Federation</t>
  </si>
  <si>
    <t>WordPress — обычный сайт, турнирной системы нет</t>
  </si>
  <si>
    <t>Аккредитованная респ. федерация, член GEF/AESF/IESF</t>
  </si>
  <si>
    <t>+7 7172 45 60 13</t>
  </si>
  <si>
    <t>info@qcf.kz</t>
  </si>
  <si>
    <t>qcf.kz</t>
  </si>
  <si>
    <t>@qcf_kz</t>
  </si>
  <si>
    <t>Email + звонок</t>
  </si>
  <si>
    <t>S3-Корпорат</t>
  </si>
  <si>
    <t>qcf.kz (проверено 2026-08-01)</t>
  </si>
  <si>
    <t>Адрес: Астана, пр. Абая 13, офис 1009. Проводят корпоративные турниры и спартакиады для нацкомпаний — самый денежный сегмент. В 2027 в Астане World Esports Championship.</t>
  </si>
  <si>
    <t>КазМунайГаз</t>
  </si>
  <si>
    <t>Не применимо: заказчик услуги, не лига</t>
  </si>
  <si>
    <t>Корпоративные клиенты</t>
  </si>
  <si>
    <t>Баскетбол, Мультиспорт</t>
  </si>
  <si>
    <t>Команда в АБЛ</t>
  </si>
  <si>
    <t>kmg.kz</t>
  </si>
  <si>
    <t>Через организатора АБЛ + HR</t>
  </si>
  <si>
    <t>S3-Внутренний</t>
  </si>
  <si>
    <t>nbfkz.com, состав участников АБЛ</t>
  </si>
  <si>
    <t>Нацкомпания, дочерние общества по всей стране. Ежегодная спартакиада — обычная практика. Заходить через организатора лиги, а не в холодную.</t>
  </si>
  <si>
    <t>Крупные IT-компании Астаны (Astana Hub резиденты)</t>
  </si>
  <si>
    <t>Технопарк, 300+ резидентов</t>
  </si>
  <si>
    <t>Киберспорт, Футбол</t>
  </si>
  <si>
    <t>300+ резидентов</t>
  </si>
  <si>
    <t>astanahub.com</t>
  </si>
  <si>
    <t>Telegram-чаты Astana Hub</t>
  </si>
  <si>
    <t>Внутренние турниры и киберспорт. Заходить через комьюнити-чаты, а не через HR.</t>
  </si>
  <si>
    <t>Қазақстан темір жолы (КТЖ)</t>
  </si>
  <si>
    <t>railways.kz</t>
  </si>
  <si>
    <t>nbfkz.com</t>
  </si>
  <si>
    <t>Крупнейший работодатель страны, филиалы в каждом регионе. Межфилиальные соревнования — большой объём матчей и ручного учёта.</t>
  </si>
  <si>
    <t>Самрук-Қазына и портфельные компании</t>
  </si>
  <si>
    <t>Фонд и его дочерние компании</t>
  </si>
  <si>
    <t>sk.kz</t>
  </si>
  <si>
    <t>Официальное письмо + HR</t>
  </si>
  <si>
    <t>Спартакиада группы компаний — самый крупный из реалистичных форматов. Долгий цикл, идти параллельно с быстрыми сделками.</t>
  </si>
  <si>
    <t>Allur (Аллюр Авто)</t>
  </si>
  <si>
    <t>Футбол, Мультиспорт</t>
  </si>
  <si>
    <t>Астана/Костанай</t>
  </si>
  <si>
    <t>Команда в Высшей лиге AFL, 3-е место</t>
  </si>
  <si>
    <t>allur.kz</t>
  </si>
  <si>
    <t>LinkedIn HR + через AFL</t>
  </si>
  <si>
    <t>astfl.kz + allur.kz</t>
  </si>
  <si>
    <t>Автопроизводитель, заводы в Костанае и Алматы. Межзаводская спартакиада — естественный формат.</t>
  </si>
  <si>
    <t>BI Group</t>
  </si>
  <si>
    <t>Две команды в Высшей лиге AFL: основная и ДП BI Group</t>
  </si>
  <si>
    <t>bi.group</t>
  </si>
  <si>
    <t>astfl.kz, таблица Высшей лиги (проверено 01.08.2026)</t>
  </si>
  <si>
    <t>Крупнейший застройщик РК. Две команды в одной лиге — спорт в компании поставлен системно, есть бюджет и ответственный за него человек. Заходить с межфилиальной спартакиадой: у них стройплощадки в нескольких городах.</t>
  </si>
  <si>
    <t>Freedom Holding</t>
  </si>
  <si>
    <t>Астана/Алматы</t>
  </si>
  <si>
    <t>Банк, брокер, страхование</t>
  </si>
  <si>
    <t>ffin.kz</t>
  </si>
  <si>
    <t>LinkedIn HR</t>
  </si>
  <si>
    <t>Активно спонсируют спорт — значит бюджет на спортивные активности уже защищён внутри.</t>
  </si>
  <si>
    <t>Halyk Bank</t>
  </si>
  <si>
    <t>Алматы/Астана</t>
  </si>
  <si>
    <t>Крупнейший банк РК, филиалы по всей стране</t>
  </si>
  <si>
    <t>halykbank.kz</t>
  </si>
  <si>
    <t>Межфилиальная спартакиада — классический формат для банка такого размера.</t>
  </si>
  <si>
    <t>Kaspi.kz</t>
  </si>
  <si>
    <t>Крупнейшая IT-компания страны</t>
  </si>
  <si>
    <t>kaspi.kz</t>
  </si>
  <si>
    <t>Тысячи сотрудников, сильная внутренняя культура. Формат: турнир между командами разработки, киберспорт.</t>
  </si>
  <si>
    <t>KazEuroTrans</t>
  </si>
  <si>
    <t>Лидер Высшей лиги AFL</t>
  </si>
  <si>
    <t>kazeurotrans.kz</t>
  </si>
  <si>
    <t>Сайт → форма + через AFL</t>
  </si>
  <si>
    <t>astfl.kz + kazeurotrans.kz</t>
  </si>
  <si>
    <t>Прокат авто и аренда автобусов в Астане и Алматы. Команда занимает первое место — руководство явно вовлечено в спорт.</t>
  </si>
  <si>
    <t>Kolesa Group</t>
  </si>
  <si>
    <t>Алматы</t>
  </si>
  <si>
    <t>IT-компания, сильный HR-бренд</t>
  </si>
  <si>
    <t>kolesa.kz</t>
  </si>
  <si>
    <t>LinkedIn + Telegram-чаты</t>
  </si>
  <si>
    <t>IT-компании соглашаются быстрее всех и охотно пишут отзывы публично.</t>
  </si>
  <si>
    <t>KPMG Казахстан (KPMG Open)</t>
  </si>
  <si>
    <t>Своё</t>
  </si>
  <si>
    <t>Ежегодный турнир среди компаний</t>
  </si>
  <si>
    <t>kpmg.com/kz</t>
  </si>
  <si>
    <t>LinkedIn/HR + email</t>
  </si>
  <si>
    <t>Проводят KPMG Open и чемпионат по шахматам среди компаний Алматы более 16 лет. Готовый заказчик с бюджетом и регулярностью.</t>
  </si>
  <si>
    <t>OMA (сеть гипермаркетов)</t>
  </si>
  <si>
    <t>Команда Oma.kz, 2-е место в Высшей лиге AFL</t>
  </si>
  <si>
    <t>oma.kz</t>
  </si>
  <si>
    <t>astfl.kz + oma.kz</t>
  </si>
  <si>
    <t>Розничная сеть, много магазинов и складов — турнир между точками продаж работает как мотивация линейного персонала.</t>
  </si>
  <si>
    <t>Астанинская любительская хоккейная лига (АЛХЛ)</t>
  </si>
  <si>
    <t>Сайт не отвечает</t>
  </si>
  <si>
    <t>Любительские лиги</t>
  </si>
  <si>
    <t>Городская лига</t>
  </si>
  <si>
    <t>alhl.kz</t>
  </si>
  <si>
    <t>Сайт/Instagram</t>
  </si>
  <si>
    <t>S1-Лига</t>
  </si>
  <si>
    <t>alhl.kz (поиск 2026-08-01)</t>
  </si>
  <si>
    <t>Хоккей — формат groups+playoff, у Tournable уже поддержан. Сайт на момент проверки не открывался — искать актуальный контакт в 2GIS/Instagram.</t>
  </si>
  <si>
    <t>Казахстанская Лига Любителей Волейбола (ОО)</t>
  </si>
  <si>
    <t>Волейбол</t>
  </si>
  <si>
    <t>Республиканское ОО, БИН 170640000074</t>
  </si>
  <si>
    <t>Андабаева Алия Талгатовна</t>
  </si>
  <si>
    <t>Поиск контакта → звонок</t>
  </si>
  <si>
    <t>statsnet.co (реестр юрлиц)</t>
  </si>
  <si>
    <t>Юрлицо зарегистрировано в Астане. Волейбол в Tournable поддержан. Контакт искать через реестр/2GIS/соцсети.</t>
  </si>
  <si>
    <t>Любительский Футбол Астана (LFA)</t>
  </si>
  <si>
    <t>Только Instagram</t>
  </si>
  <si>
    <t>@lfa_kz</t>
  </si>
  <si>
    <t>Instagram Direct</t>
  </si>
  <si>
    <t>instagram.com/lfa_kz</t>
  </si>
  <si>
    <t>Активный Instagram — писать в Direct. Предложить бесплатное ведение одного тура как демо.</t>
  </si>
  <si>
    <t>ASTANA CUP (баскетбол)</t>
  </si>
  <si>
    <t>Баскетбол</t>
  </si>
  <si>
    <t>Лига среди сильнейших любительских команд</t>
  </si>
  <si>
    <t>@astana_cup</t>
  </si>
  <si>
    <t>instagram.com/astana_cup</t>
  </si>
  <si>
    <t>Отдельный организатор, не связан с НФБ. Писать в Direct.</t>
  </si>
  <si>
    <t>Streetball Astana</t>
  </si>
  <si>
    <t>Стритбол</t>
  </si>
  <si>
    <t>3x3, турниры летом</t>
  </si>
  <si>
    <t>@streetball.ast</t>
  </si>
  <si>
    <t>instagram.com/streetball.ast</t>
  </si>
  <si>
    <t>Сезонный, 3x3. Быстрые турниры на 1 день — идеальный первый пилот.</t>
  </si>
  <si>
    <t>Footballer.kz (ДЮФК)</t>
  </si>
  <si>
    <t>Организаторы турниров</t>
  </si>
  <si>
    <t>200+ корпоративных турниров за 10 лет</t>
  </si>
  <si>
    <t>+7 701 371 0300</t>
  </si>
  <si>
    <t>dufk.kz@gmail.com</t>
  </si>
  <si>
    <t>footballer.kz</t>
  </si>
  <si>
    <t>@footballer__kz</t>
  </si>
  <si>
    <t>+7 702 333 7 888</t>
  </si>
  <si>
    <t>WhatsApp</t>
  </si>
  <si>
    <t>footballer.kz (проверено 2026-08-01)</t>
  </si>
  <si>
    <t>Адрес: Алматы, ул. Айманова 193а. Продают турнир под ключ (площадка, судьи, символика, награждение) — партнёрство: мы даём цифровую часть, они дают поток заказчиков.</t>
  </si>
  <si>
    <t>SPORT PROJECTS</t>
  </si>
  <si>
    <t>Кубок акима Астаны, городские первенства</t>
  </si>
  <si>
    <t>sport-projects.kz</t>
  </si>
  <si>
    <t>Сайт → форма + звонок</t>
  </si>
  <si>
    <t>Реальные турниры под ключ, спартакиады по олимпийским видам. Нужны сетки, табло, отчёты — заходить с white-label отчётом для заказчика.</t>
  </si>
  <si>
    <t>SportEvents Almaty</t>
  </si>
  <si>
    <t>Tilda — сайт-визитка</t>
  </si>
  <si>
    <t>Спартакиады для организаций и госслужащих, Giro d’Almaty, забег Медео</t>
  </si>
  <si>
    <t>+7 747 857 34 73</t>
  </si>
  <si>
    <t>sportevents.kz</t>
  </si>
  <si>
    <t>@sportevents.ala</t>
  </si>
  <si>
    <t>sportevents.kz (проверено 2026-08-01)</t>
  </si>
  <si>
    <t>Полный цикл: концепция, логистика, судейство, регистрация, спонсоры. Игровые турниры по футболу/волейболу/баскетболу — им нужен именно наш модуль сеток и протоколов.</t>
  </si>
  <si>
    <t>СК «Эверест»</t>
  </si>
  <si>
    <t>Площадки</t>
  </si>
  <si>
    <t>16 000 ₸/час</t>
  </si>
  <si>
    <t>+7 701 544 55 11</t>
  </si>
  <si>
    <t>Звонок/WhatsApp</t>
  </si>
  <si>
    <t>S4-Площадка</t>
  </si>
  <si>
    <t>sxodim.com</t>
  </si>
  <si>
    <t>Адрес: Жиенкуловой 7. Есть прямой телефон — звонить первым.</t>
  </si>
  <si>
    <t>Add Padel (Падел центр Астана)</t>
  </si>
  <si>
    <t>Падел</t>
  </si>
  <si>
    <t>4 корта, еженедельные призовые турниры</t>
  </si>
  <si>
    <t>add-padel.com</t>
  </si>
  <si>
    <t>@add_padel</t>
  </si>
  <si>
    <t>Instagram Direct + визит</t>
  </si>
  <si>
    <t>add-padel.com / instagram</t>
  </si>
  <si>
    <t>Еженедельные турниры = еженедельная потребность в сетках и рейтинге. Падел растёт быстрее всех — заходить сейчас.</t>
  </si>
  <si>
    <t>Alpine Padel Club</t>
  </si>
  <si>
    <t>Next.js — сайт-визитка, турнирной системы нет</t>
  </si>
  <si>
    <t>2 локации, турниры и клубные встречи, 07:00–02:00</t>
  </si>
  <si>
    <t>+7 707 903 71 79</t>
  </si>
  <si>
    <t>info@alpinepadel.kz</t>
  </si>
  <si>
    <t>alpinepadel.kz</t>
  </si>
  <si>
    <t>@alpine.padel.club</t>
  </si>
  <si>
    <t>alpinepadel.kz (проверено 2026-08-01)</t>
  </si>
  <si>
    <t>Локации: Nazarbayev University (Кабанбай батыра 53к3) и ФОК (Е 103, 7/2). Полный контакт — писать первым.</t>
  </si>
  <si>
    <t>Dostyq Arena</t>
  </si>
  <si>
    <t>@dostyqarena</t>
  </si>
  <si>
    <t>Адрес: Пушкина 35/1.</t>
  </si>
  <si>
    <t>Football Center</t>
  </si>
  <si>
    <t>4 крытых поля, 18 000 ₸/час, круглосуточно</t>
  </si>
  <si>
    <t>@footballcenterkz</t>
  </si>
  <si>
    <t>sxodim.com (проверено 2026-08-01)</t>
  </si>
  <si>
    <t>Адрес: Мухаметханова 37Б. Площадка = поток организаторов. Предложить: бесплатно ведём их внутренний турнир + QR-стойка на ресепшене за процент/рекомендации.</t>
  </si>
  <si>
    <t>FootZone</t>
  </si>
  <si>
    <t>13 000 ₸/час газон, 10 000 ₸/час паркет</t>
  </si>
  <si>
    <t>@footzone_astana</t>
  </si>
  <si>
    <t>Адрес: Жеруйык 1а. Самая доступная цена — там больше всего любительских команд.</t>
  </si>
  <si>
    <t>ЕНУ им. Л.Н. Гумилёва — спортклуб</t>
  </si>
  <si>
    <t>Обычный сайт вуза</t>
  </si>
  <si>
    <t>Университеты</t>
  </si>
  <si>
    <t>Крупнейший вуз столицы</t>
  </si>
  <si>
    <t>enu.kz</t>
  </si>
  <si>
    <t>Email + визит</t>
  </si>
  <si>
    <t>Внутренние спартакиады между факультетами — быстрый пилот на 8-16 команд.</t>
  </si>
  <si>
    <t>Astana IT University — студсовет</t>
  </si>
  <si>
    <t>IT-вуз, сильный киберспорт</t>
  </si>
  <si>
    <t>astanait.edu.kz</t>
  </si>
  <si>
    <t>Telegram студсовета</t>
  </si>
  <si>
    <t>Самая лояльная к цифровым продуктам аудитория. Просить не денег, а кейс + отзыв.</t>
  </si>
  <si>
    <t>Maqsut Narikbayev University (КАЗГЮУ)</t>
  </si>
  <si>
    <t>mnu.kz</t>
  </si>
  <si>
    <t>Nazarbayev University — спортивный отдел</t>
  </si>
  <si>
    <t>Внутренние турниры каждый семестр</t>
  </si>
  <si>
    <t>nu.edu.kz</t>
  </si>
  <si>
    <t>Email спортотдела + студсовет</t>
  </si>
  <si>
    <t>Кабанбай батыра 53. На кампусе уже работает Alpine Padel — двойная точка входа.</t>
  </si>
  <si>
    <t>Национальная федерация падел РК</t>
  </si>
  <si>
    <t>Своё, молодая федерация</t>
  </si>
  <si>
    <t>Федерации</t>
  </si>
  <si>
    <t>Казахстан</t>
  </si>
  <si>
    <t>Молодая федерация растущего вида</t>
  </si>
  <si>
    <t>padelfederation.org.kz</t>
  </si>
  <si>
    <t>Сайт → форма</t>
  </si>
  <si>
    <t>Молодая федерация без наследия ПО — легче зайти, чем в футбол.</t>
  </si>
  <si>
    <t>Астанинская любительская баскетбольная лига (АБЛ)</t>
  </si>
  <si>
    <t>Частично</t>
  </si>
  <si>
    <t>FIBA Organizer для статистики</t>
  </si>
  <si>
    <t>24 команды: вузы, КМГ, КТЖ, Microsoft, ERG, посольства</t>
  </si>
  <si>
    <t>nbfkz.com/ru/projects/amateur-league-astana</t>
  </si>
  <si>
    <t>@nbfkz</t>
  </si>
  <si>
    <t>@nbf_kz</t>
  </si>
  <si>
    <t>Instagram Direct + офис</t>
  </si>
  <si>
    <t>S9-Отдельный</t>
  </si>
  <si>
    <t>nbfkz.com (проверено 2026-08-01)</t>
  </si>
  <si>
    <t>Проект под эгидой НФБ РК, офис: Мангилик Ел 11/1, 5 этаж, каб. 506. В составе участников корпоративные команды — прямой мост к корпоративному сегменту.</t>
  </si>
  <si>
    <t>Национальная федерация баскетбола РК (НФБ)</t>
  </si>
  <si>
    <t>Нацорган, курирует АБЛ и НБСЛ</t>
  </si>
  <si>
    <t>Instagram + офис</t>
  </si>
  <si>
    <t>Адрес: Мангилик Ел 11/1, 5 этаж, каб. 506. Через них выход сразу на две лиги (АБЛ, НБСЛ).</t>
  </si>
  <si>
    <t>Портал госзакупок goszakup.gov.kz</t>
  </si>
  <si>
    <t>Не клиент</t>
  </si>
  <si>
    <t>Канал, не лид</t>
  </si>
  <si>
    <t>goszakup.gov.kz</t>
  </si>
  <si>
    <t>Регистрация поставщика</t>
  </si>
  <si>
    <t>Настроить фильтр по словам: спортивное мероприятие, соревнование, спартакиада, турнир, судейство. Это самый крупный по чекам источник заказов в РК.</t>
  </si>
  <si>
    <t>B</t>
  </si>
  <si>
    <t>Управление образования г. Астаны</t>
  </si>
  <si>
    <t>Школьные спартакиады</t>
  </si>
  <si>
    <t>Официальное письмо</t>
  </si>
  <si>
    <t>S6-Школы</t>
  </si>
  <si>
    <t>Спартакиады среди школ города — большой объём матчей, ручной учёт.</t>
  </si>
  <si>
    <t>Академия ФК «Кайрат»</t>
  </si>
  <si>
    <t>1000+ воспитанников</t>
  </si>
  <si>
    <t>fckairat.com</t>
  </si>
  <si>
    <t>Проводят собственные турниры и приглашают команды.</t>
  </si>
  <si>
    <t>СДЮСШОР № 6</t>
  </si>
  <si>
    <t>+7 7172 24-92-27</t>
  </si>
  <si>
    <t>Доп. тел: +7 708 323 86 38.</t>
  </si>
  <si>
    <t>СДЮСШОР № 8 (футбол)</t>
  </si>
  <si>
    <t>Сайт управления спорта</t>
  </si>
  <si>
    <t>Профильная футбольная ДЮСШ</t>
  </si>
  <si>
    <t>madeniet-sport-astana.kz</t>
  </si>
  <si>
    <t>Звонок через управление спорта</t>
  </si>
  <si>
    <t>Футбольная школа «Торнадо»</t>
  </si>
  <si>
    <t>WordPress</t>
  </si>
  <si>
    <t>Дети от 5 лет</t>
  </si>
  <si>
    <t>tornado.football</t>
  </si>
  <si>
    <t>True Hockey</t>
  </si>
  <si>
    <t>+7 778 999 91 93</t>
  </si>
  <si>
    <t>ZhaStar (школа футбола)</t>
  </si>
  <si>
    <t>Нет сайта; команда играет в Высшей лиге AFL</t>
  </si>
  <si>
    <t>+7 701 199 44 99</t>
  </si>
  <si>
    <t>Федерация киберспорта СКО</t>
  </si>
  <si>
    <t>Петропавловск</t>
  </si>
  <si>
    <t>Региональная федерация</t>
  </si>
  <si>
    <t>cybersportleague.kz</t>
  </si>
  <si>
    <t>Школьные лиги и открытые кубки CS2, EA SPORTS FC.</t>
  </si>
  <si>
    <t>iPlay ESports</t>
  </si>
  <si>
    <t>Коммерческий организатор</t>
  </si>
  <si>
    <t>iplayesports.kz</t>
  </si>
  <si>
    <t>Банк ЦентрКредит (БЦК)</t>
  </si>
  <si>
    <t>Банк с филиальной сетью</t>
  </si>
  <si>
    <t>bcc.kz</t>
  </si>
  <si>
    <t>Казатомпром</t>
  </si>
  <si>
    <t>Горнодобыча, предприятия в регионах</t>
  </si>
  <si>
    <t>kazatomprom.kz</t>
  </si>
  <si>
    <t>Air Astana</t>
  </si>
  <si>
    <t>Авиакомпания</t>
  </si>
  <si>
    <t>airastana.com</t>
  </si>
  <si>
    <t>Персонал в двух базах — турнир Астана против Алматы напрашивается сам.</t>
  </si>
  <si>
    <t>Beeline Казахстан</t>
  </si>
  <si>
    <t>Мультиспорт, Киберспорт</t>
  </si>
  <si>
    <t>Телеком</t>
  </si>
  <si>
    <t>beeline.kz</t>
  </si>
  <si>
    <t>Телеком-компании любят киберспортивные внутренние турниры — а это сегмент, где вендоров нет вообще.</t>
  </si>
  <si>
    <t>BEK-SULTAN</t>
  </si>
  <si>
    <t>Команда в Высшей лиге AFL</t>
  </si>
  <si>
    <t>Поиск контакта</t>
  </si>
  <si>
    <t>astfl.kz</t>
  </si>
  <si>
    <t>Название компании уточнить в 2GIS.</t>
  </si>
  <si>
    <t>Chocofamily</t>
  </si>
  <si>
    <t>IT-холдинг</t>
  </si>
  <si>
    <t>chocofamily.kz</t>
  </si>
  <si>
    <t>LinkedIn</t>
  </si>
  <si>
    <t>DoDo</t>
  </si>
  <si>
    <t>dodopizza.kz</t>
  </si>
  <si>
    <t>Проверить, та ли это Dodo Pizza. Сеть с большим числом точек и молодым персоналом — турнир между пиццериями.</t>
  </si>
  <si>
    <t>ELIM-AI</t>
  </si>
  <si>
    <t>Уточнить, компания это или клуб.</t>
  </si>
  <si>
    <t>inDrive</t>
  </si>
  <si>
    <t>IT, международная компания</t>
  </si>
  <si>
    <t>indrive.com</t>
  </si>
  <si>
    <t>Jusan Bank</t>
  </si>
  <si>
    <t>Банк</t>
  </si>
  <si>
    <t>jusan.kz</t>
  </si>
  <si>
    <t>Kcell / Tele2</t>
  </si>
  <si>
    <t>kcell.kz</t>
  </si>
  <si>
    <t>KEGOC</t>
  </si>
  <si>
    <t>Энергетика, филиалы в регионах</t>
  </si>
  <si>
    <t>kegoc.kz</t>
  </si>
  <si>
    <t>Microsoft Kazakhstan</t>
  </si>
  <si>
    <t>Небольшой офис, но кейс с их логотипом полезен для продажи другим.</t>
  </si>
  <si>
    <t>MultiPortSystems</t>
  </si>
  <si>
    <t>Поиск контакта → LinkedIn</t>
  </si>
  <si>
    <t>IT-компания. Домен уточнить.</t>
  </si>
  <si>
    <t>Любительская баскетбольная лига (Дай Мяч)</t>
  </si>
  <si>
    <t>12 команд, с 2017 года</t>
  </si>
  <si>
    <t>daymyach.com/lbl</t>
  </si>
  <si>
    <t>Объединяет игроков любого возраста и уровня. Сайт на момент проверки отдавал ошибку сертификата — контакт брать из 2GIS.</t>
  </si>
  <si>
    <t>BAQ Лига</t>
  </si>
  <si>
    <t>Не проверено</t>
  </si>
  <si>
    <t>Из первой версии базы</t>
  </si>
  <si>
    <t>Контакты не заполнены — найти в Instagram/2GIS.</t>
  </si>
  <si>
    <t>AJ Events</t>
  </si>
  <si>
    <t>Event-агентство</t>
  </si>
  <si>
    <t>ajevents.kz</t>
  </si>
  <si>
    <t>Business Event &amp; Rent</t>
  </si>
  <si>
    <t>Tilda</t>
  </si>
  <si>
    <t>15 лет на рынке, корпоративные и деловые события</t>
  </si>
  <si>
    <t>b-event.kz</t>
  </si>
  <si>
    <t>EventAlmaty.kz</t>
  </si>
  <si>
    <t>Спортивно-развлекательные мероприятия</t>
  </si>
  <si>
    <t>eventalmaty.kz</t>
  </si>
  <si>
    <t>J.Martin Event</t>
  </si>
  <si>
    <t>Event-агентство с 2017 года</t>
  </si>
  <si>
    <t>jmartin.kz</t>
  </si>
  <si>
    <t>Корпоративные спортивные состязания.</t>
  </si>
  <si>
    <t>Prostranstvo</t>
  </si>
  <si>
    <t>prostranstvo.team</t>
  </si>
  <si>
    <t>RedG</t>
  </si>
  <si>
    <t>Футбол, Волейбол</t>
  </si>
  <si>
    <t>Корпоративные турниры</t>
  </si>
  <si>
    <t>red-g.kz</t>
  </si>
  <si>
    <t>Talisman Event</t>
  </si>
  <si>
    <t>talismanevent.kz</t>
  </si>
  <si>
    <t>Padel Sai Almaty / Add Tennis Padel</t>
  </si>
  <si>
    <t>Падел-центр</t>
  </si>
  <si>
    <t>@padel.sai.almaty</t>
  </si>
  <si>
    <t>instagram / yandex maps</t>
  </si>
  <si>
    <t>Адрес: ул. Ташена Утепова.</t>
  </si>
  <si>
    <t>Sairan Arena</t>
  </si>
  <si>
    <t>33 000 ₸/час</t>
  </si>
  <si>
    <t>@sairanarena</t>
  </si>
  <si>
    <t>Адрес: Туран 58/1. Премиальный сегмент, корпоративные заказчики.</t>
  </si>
  <si>
    <t>Казахский агротехнический университет им. С. Сейфуллина</t>
  </si>
  <si>
    <t>kazatu.edu.kz</t>
  </si>
  <si>
    <t>КазНИТУ им. Сатпаева</t>
  </si>
  <si>
    <t>satbayev.university</t>
  </si>
  <si>
    <t>Участник KESL.</t>
  </si>
  <si>
    <t>КазНУ им. аль-Фараби — спортклуб</t>
  </si>
  <si>
    <t>Крупнейший вуз страны</t>
  </si>
  <si>
    <t>kaznu.kz</t>
  </si>
  <si>
    <t>Участник KESL — можно зайти через киберспортивную лигу.</t>
  </si>
  <si>
    <t>КБТУ — студсовет</t>
  </si>
  <si>
    <t>kbtu.edu.kz</t>
  </si>
  <si>
    <t>Медицинский университет Астана</t>
  </si>
  <si>
    <t>amu.kz</t>
  </si>
  <si>
    <t>МУИТ (IITU)</t>
  </si>
  <si>
    <t>iitu.edu.kz</t>
  </si>
  <si>
    <t>AlmaU / КИМЭП / Нархоз</t>
  </si>
  <si>
    <t>Обычные сайты вузов</t>
  </si>
  <si>
    <t>Бизнес-вузы, корпоративная культура</t>
  </si>
  <si>
    <t>Их выпускники — HR в компаниях. Двойная ценность: кейс + выход на корпоративный сегмент.</t>
  </si>
  <si>
    <t>Казахстанская федерация волейбола</t>
  </si>
  <si>
    <t>Нацорган</t>
  </si>
  <si>
    <t>volley.kz</t>
  </si>
  <si>
    <t>Корпоративная лига Алматы (PFL Almaty)</t>
  </si>
  <si>
    <t>JoinSport</t>
  </si>
  <si>
    <t>Корпоративные лиги</t>
  </si>
  <si>
    <t>Чемпионат среди компаний</t>
  </si>
  <si>
    <t>pflalmaty.com/tournament/1058909</t>
  </si>
  <si>
    <t>pflalmaty.com</t>
  </si>
  <si>
    <t>Корпоративные турниры = бюджеты компаний. Заходить не с подпиской, а с услугой «под ключ + брендированный отчёт для HR».</t>
  </si>
  <si>
    <t>Ночная Любительская Хоккейная Лига (НЛХЛ)</t>
  </si>
  <si>
    <t>Своё, устаревшее (битая кодировка)</t>
  </si>
  <si>
    <t>Мультигород: основной, junior, Темиртау</t>
  </si>
  <si>
    <t>nhliga.kz</t>
  </si>
  <si>
    <t>nhliga.kz, junior.nhliga.kz, temirtau.nhliga.kz</t>
  </si>
  <si>
    <t>Три отдельных дивизиона = три аккаунта. Хороший кейс мультиаккаунта/чемпионата в Tournable.</t>
  </si>
  <si>
    <t>Almaty Hockey League / Федерация хоккея Алматы</t>
  </si>
  <si>
    <t>18 команд, финал плей-офф 10 000+ зрителей на Алматы Арене</t>
  </si>
  <si>
    <t>fha.kz</t>
  </si>
  <si>
    <t>Сайт → форма/почта</t>
  </si>
  <si>
    <t>fha.kz (поиск 2026-08-01)</t>
  </si>
  <si>
    <t>Самая зрелая любительская лига по хоккею: Матч звёзд, плей-офф с большой посещаемостью. Есть спонсорские деньги — заходить с брендированным отчётом и табло.</t>
  </si>
  <si>
    <t>Национальная баскетбольная студенческая лига (НБСЛ)</t>
  </si>
  <si>
    <t>Своё (через НФБ)</t>
  </si>
  <si>
    <t>Муж/жен дивизионы, плей-офф</t>
  </si>
  <si>
    <t>Через НФБ</t>
  </si>
  <si>
    <t>nbf.kz/ru/project/nbsl</t>
  </si>
  <si>
    <t>Кейс под playoff/groups_playoff.</t>
  </si>
  <si>
    <t>ASTFL (Астанинская любительская футбольная лига)</t>
  </si>
  <si>
    <t>Занят</t>
  </si>
  <si>
    <t>Своё (Joomla) + приложение AFL Socca</t>
  </si>
  <si>
    <t>S10-AFL</t>
  </si>
  <si>
    <t>Прямой ICP. Контакт искать в шапке сайта и в IG.</t>
  </si>
  <si>
    <t>Чаты организаторов ЛФЛ/дворового футбола</t>
  </si>
  <si>
    <t>Канал</t>
  </si>
  <si>
    <t>Медиа и каналы</t>
  </si>
  <si>
    <t>Астана/РК</t>
  </si>
  <si>
    <t>Главная точка входа в комьюнити</t>
  </si>
  <si>
    <t>Вступить и участвовать</t>
  </si>
  <si>
    <t>S8-Комьюнити</t>
  </si>
  <si>
    <t>см. плейбук</t>
  </si>
  <si>
    <t>Вступить в чаты через LLF/ASTFL/LFA. Не продавать в лоб: сначала польза, потом предложение.</t>
  </si>
  <si>
    <t>Sports.kz / Vesti.kz — спортивные редакции</t>
  </si>
  <si>
    <t>СМИ</t>
  </si>
  <si>
    <t>sports.kz</t>
  </si>
  <si>
    <t>Email редакции</t>
  </si>
  <si>
    <t>Пресс-релиз о запуске первой казахстанской платформы для турниров — бесплатный охват.</t>
  </si>
  <si>
    <t>Sxodim Астана / Алматы</t>
  </si>
  <si>
    <t>Городской афишный портал</t>
  </si>
  <si>
    <t>Размещение анонсов турниров, которые ведём мы = входящие заявки от команд.</t>
  </si>
  <si>
    <t>C</t>
  </si>
  <si>
    <t>Hockey training players</t>
  </si>
  <si>
    <t>+7 747 186 44 59</t>
  </si>
  <si>
    <t>Госорганы в АБЛ (МЧС, Канцелярия Премьер-Министра)</t>
  </si>
  <si>
    <t>Команды в АБЛ</t>
  </si>
  <si>
    <t>Длинный цикл и закупки, но подтверждает: госсектор в Астане играет и имеет на это бюджет.</t>
  </si>
  <si>
    <t>Pod-kluch.kz (HR-мероприятия)</t>
  </si>
  <si>
    <t>Bitrix, страница отдаёт 404</t>
  </si>
  <si>
    <t>Корпоративные турниры под ключ</t>
  </si>
  <si>
    <t>pod-kluch.kz/services/hr-meropriyatiya/korporativnye-turniry</t>
  </si>
  <si>
    <t>pod-kluch.kz</t>
  </si>
  <si>
    <t>Любительская Волейбольная Лига Восточного Казахстана</t>
  </si>
  <si>
    <t>orgs.biz (конструктор лиг)</t>
  </si>
  <si>
    <t>Усть-Каменогорск</t>
  </si>
  <si>
    <t>Бизнес-лига, детское направление, пляжный кубок</t>
  </si>
  <si>
    <t>amateurvolleyballleague.orgs.biz</t>
  </si>
  <si>
    <t>Несколько турниров в год (Бизнес-лига, Кубок Фортуны, волейбол на снегу, фестиваль пляжных видов) — много поводов для повторных продаж.</t>
  </si>
  <si>
    <t>Мини-Футбольная Лига г. Алматы</t>
  </si>
  <si>
    <t>llfalmaty.kz</t>
  </si>
  <si>
    <t>PFL Almaty</t>
  </si>
  <si>
    <t>Городская лига + корпоративный дивизион</t>
  </si>
  <si>
    <t>Сайт → форма/Instagram</t>
  </si>
  <si>
    <t>Ведут таблицы/расписания/статистику — прямая боль. Отдельно у них есть Корпоративная лига (см. строку ниже).</t>
  </si>
  <si>
    <t>Almaty Student League (ASL / ASBL)</t>
  </si>
  <si>
    <t>Футбол, Баскетбол, Волейбол</t>
  </si>
  <si>
    <t>32+ вуза, 1300+ студентов за сезон</t>
  </si>
  <si>
    <t>asbl.kz</t>
  </si>
  <si>
    <t>Мультиспорт, сезон стартует в октябре — заходить до старта сезона.</t>
  </si>
  <si>
    <t>Almaty Students Volleyball League (ASVL)</t>
  </si>
  <si>
    <t>35 вузов, футбол+волейбол+баскетбол, участие бесплатное</t>
  </si>
  <si>
    <t>asvl.kz</t>
  </si>
  <si>
    <t>Instagram/WhatsApp с сайта</t>
  </si>
  <si>
    <t>asvl.kz (проверено 2026-08-01)</t>
  </si>
  <si>
    <t>Запущена по инициативе акимата Алматы — есть бюджет. Три вида спорта в одном проекте — идеальный кейс мультиспорта Tournable.</t>
  </si>
  <si>
    <t>Национальная школьная лига «Былғары доп»</t>
  </si>
  <si>
    <t>Через KFF</t>
  </si>
  <si>
    <t>Школьные лиги</t>
  </si>
  <si>
    <t>Республиканский турнир, 7-8 классы</t>
  </si>
  <si>
    <t>kff.kz</t>
  </si>
  <si>
    <t>Через KFF + облуправления</t>
  </si>
  <si>
    <t>Выход через KFF и управления образования.</t>
  </si>
  <si>
    <t>Футбольная Школьная лига Алматы</t>
  </si>
  <si>
    <t>orgs.biz</t>
  </si>
  <si>
    <t>Городской турнир среди школ</t>
  </si>
  <si>
    <t>school-almaty.orgs.biz</t>
  </si>
  <si>
    <t>Astana Basketball League</t>
  </si>
  <si>
    <t>Платформа ABL (ablforpeople.com)</t>
  </si>
  <si>
    <t>Открытый чемпионат города</t>
  </si>
  <si>
    <t>ablforpeople.com/tournament/astana</t>
  </si>
  <si>
    <t>@astana_basketball_league</t>
  </si>
  <si>
    <t>ablforpeople.com</t>
  </si>
  <si>
    <t>Ведут статистику на стороннем сервисе — аргумент: перенос на Tournable с публичными страницами команд и игроков.</t>
  </si>
  <si>
    <t>Любительские лиги Актобе</t>
  </si>
  <si>
    <t>Скорее всего филиал ЛЛФ на 1sport — проверять до касания</t>
  </si>
  <si>
    <t>Поиск: регионы</t>
  </si>
  <si>
    <t>Актобе</t>
  </si>
  <si>
    <t>Задача на исследование</t>
  </si>
  <si>
    <t>Поиск → Instagram</t>
  </si>
  <si>
    <t>Любительские лиги Атырау и Актау</t>
  </si>
  <si>
    <t>Атырау/Актау</t>
  </si>
  <si>
    <t>Нефтяные регионы: корпоративные спартакиады с бюджетами.</t>
  </si>
  <si>
    <t>Любительские лиги Караганды</t>
  </si>
  <si>
    <t>Караганды</t>
  </si>
  <si>
    <t>Метод: Instagram по тегам #карагандафутбол #лфлкараганда, 2GIS «спортивные мероприятия», поиск «любительская лига Караганда».</t>
  </si>
  <si>
    <t>Любительские лиги Кокшетау и Туркестана</t>
  </si>
  <si>
    <t>Кокшетау/Туркестан</t>
  </si>
  <si>
    <t>Любительские лиги Костаная и Петропавловска</t>
  </si>
  <si>
    <t>Футбол, Хоккей</t>
  </si>
  <si>
    <t>Костанай/Петропавловск</t>
  </si>
  <si>
    <t>Любительские лиги Павлодара</t>
  </si>
  <si>
    <t>Павлодар</t>
  </si>
  <si>
    <t>В АБЛ играли команды из Павлодара и Темиртау — там есть активное комьюнити.</t>
  </si>
  <si>
    <t>Любительские лиги Семея и Талдыкоргана</t>
  </si>
  <si>
    <t>Семей/Талдыкорган</t>
  </si>
  <si>
    <t>Любительские лиги Тараза, Кызылорды, Уральска</t>
  </si>
  <si>
    <t>Тараз/Кызылорда/Уральск</t>
  </si>
  <si>
    <t>Любительские лиги Усть-Каменогорска</t>
  </si>
  <si>
    <t>Хоккей, Волейбол</t>
  </si>
  <si>
    <t>Хоккейный город. Уже найдена волейбольная лига ВКО — просить у них контакты соседей.</t>
  </si>
  <si>
    <t>Любительские лиги Шымкента</t>
  </si>
  <si>
    <t>Шымкент</t>
  </si>
  <si>
    <t>Третий по величине город, слабо охвачен конкурентами.</t>
  </si>
  <si>
    <t>Акмолинская областная ассоциация футбола</t>
  </si>
  <si>
    <t>Региональная федерация KFF</t>
  </si>
  <si>
    <t>Кокшетау</t>
  </si>
  <si>
    <t>Областная федерация</t>
  </si>
  <si>
    <t>Социалов Айдын Аскарович</t>
  </si>
  <si>
    <t>+7 701 177 17 16</t>
  </si>
  <si>
    <t>ffk_aqmola@mail.ru</t>
  </si>
  <si>
    <t>kff.kz/regions</t>
  </si>
  <si>
    <t>Актюбинская Федерация Футбола</t>
  </si>
  <si>
    <t>Калжанов Асхат Сагитжанович</t>
  </si>
  <si>
    <t>+7 707 151 01 27</t>
  </si>
  <si>
    <t>aoaf@list.ru</t>
  </si>
  <si>
    <t>Ассоциация Федерация футбола Атырауской области</t>
  </si>
  <si>
    <t>Атырау</t>
  </si>
  <si>
    <t>Таханов Данияр Булатович</t>
  </si>
  <si>
    <t>+7 702 406 97 18</t>
  </si>
  <si>
    <t>atyrau_ff@mail.ru</t>
  </si>
  <si>
    <t>atyrauff.kz</t>
  </si>
  <si>
    <t>@atyrauff.kz</t>
  </si>
  <si>
    <t>Ассоциация Федерация футбола г. Астана</t>
  </si>
  <si>
    <t>Городская федерация</t>
  </si>
  <si>
    <t>Алиев Батыр Алиұлы</t>
  </si>
  <si>
    <t>+7 701 518 57 83</t>
  </si>
  <si>
    <t>info@ffn.kz</t>
  </si>
  <si>
    <t>ffa.kz</t>
  </si>
  <si>
    <t>@ffa.kz</t>
  </si>
  <si>
    <t>Звонок + email</t>
  </si>
  <si>
    <t>Локальная, главный приоритет среди футбольных федераций. Курирует городские турниры и первенства.</t>
  </si>
  <si>
    <t>Ассоциация Федерация футбола г. Шымкент</t>
  </si>
  <si>
    <t>Кайкибасов Даурен Көмекбайұлы</t>
  </si>
  <si>
    <t>+7 708 740 80 33</t>
  </si>
  <si>
    <t>Ассоциация Федерация футбола Павлодарской области</t>
  </si>
  <si>
    <t>Садуов Ойрат Батаевич</t>
  </si>
  <si>
    <t>poff.kz@bk.ru</t>
  </si>
  <si>
    <t>poff.kz</t>
  </si>
  <si>
    <t>Телефон уточнить (на сайте только email).</t>
  </si>
  <si>
    <t>Ассоциация Федерация футбола СКО</t>
  </si>
  <si>
    <t>Асанов Женис Мухтарович</t>
  </si>
  <si>
    <t>+7 707 493 56 76</t>
  </si>
  <si>
    <t>asanov-zhenis@mail.ru</t>
  </si>
  <si>
    <t>Ассоциация футбола Туркестанской области</t>
  </si>
  <si>
    <t>Туркестан</t>
  </si>
  <si>
    <t>Абишов Нуралы Алмаханович</t>
  </si>
  <si>
    <t>Контакты уточнить через kff.kz/regions.</t>
  </si>
  <si>
    <t>Восточно-Казахстанская областная ассоциация футбола</t>
  </si>
  <si>
    <t>Аллахведиев Рамиз Адалат Оглы</t>
  </si>
  <si>
    <t>+7 705 271 60 96</t>
  </si>
  <si>
    <t>info@vkoaf.kz</t>
  </si>
  <si>
    <t>vkoaf.kz</t>
  </si>
  <si>
    <t>@shqfl.kz</t>
  </si>
  <si>
    <t>Западно-Казахстанская областная ассоциация по футболу</t>
  </si>
  <si>
    <t>Уральск</t>
  </si>
  <si>
    <t>Капаков Гайса Хамидуллович</t>
  </si>
  <si>
    <t>+7 701 723 37 13</t>
  </si>
  <si>
    <t>bko_football_association@bk.ru</t>
  </si>
  <si>
    <t>@bko_football_association</t>
  </si>
  <si>
    <t>Казахстанская Федерация футбола (KFF)</t>
  </si>
  <si>
    <t>секретариат</t>
  </si>
  <si>
    <t>+7 7172 79-07-80</t>
  </si>
  <si>
    <t>kense@kff.kz</t>
  </si>
  <si>
    <t>kff.kz/contacts</t>
  </si>
  <si>
    <t>Долгий цикл сделки. Через них выход на школьную лигу «Былғары доп».</t>
  </si>
  <si>
    <t>Карагандинская областная ассоциация футбола</t>
  </si>
  <si>
    <t>Булекпаев Ермаганбет Кабдулович</t>
  </si>
  <si>
    <t>+7 700 456 36 75</t>
  </si>
  <si>
    <t>futbolkaraganda@mail.ru</t>
  </si>
  <si>
    <t>koaf.kz</t>
  </si>
  <si>
    <t>Кызылординская областная федерация футбола</t>
  </si>
  <si>
    <t>Кызылорда</t>
  </si>
  <si>
    <t>Кушербаев Болат Елеуович</t>
  </si>
  <si>
    <t>+7 771 593 20 70</t>
  </si>
  <si>
    <t>kzff@mail.ru</t>
  </si>
  <si>
    <t>ffko.kz</t>
  </si>
  <si>
    <t>@koff_kyzylorda</t>
  </si>
  <si>
    <t>Мангистауская областная федерация футбола</t>
  </si>
  <si>
    <t>Актау</t>
  </si>
  <si>
    <t>Тулепбергенов Марат Ходжабердыевич</t>
  </si>
  <si>
    <t>+7 702 516 85 08</t>
  </si>
  <si>
    <t>moffaktau@mail.ru</t>
  </si>
  <si>
    <t>moff.kz</t>
  </si>
  <si>
    <t>@moffaktau</t>
  </si>
  <si>
    <t>Федерация футбола Жамбылской области</t>
  </si>
  <si>
    <t>Тараз</t>
  </si>
  <si>
    <t>Джумабаев Алимбек Асембекович</t>
  </si>
  <si>
    <t>+7 775 429 65 05</t>
  </si>
  <si>
    <t>zhambylff@mail.ru</t>
  </si>
  <si>
    <t>tarazfootball.kz</t>
  </si>
  <si>
    <t>Федерация футбола области Абай</t>
  </si>
  <si>
    <t>Семей</t>
  </si>
  <si>
    <t>Байбеков Шалқар Заманбекұлы</t>
  </si>
  <si>
    <t>+7 701 705 72 76</t>
  </si>
  <si>
    <t>abai.futbolfederasiyasy2022@gmail.com</t>
  </si>
  <si>
    <t>@abai_football_federation</t>
  </si>
  <si>
    <t>Федерация футбола области Жетісу</t>
  </si>
  <si>
    <t>Талдыкорган</t>
  </si>
  <si>
    <t>Байсаринов Ерик Койшыбаевич</t>
  </si>
  <si>
    <t>+7 701 449 99 66</t>
  </si>
  <si>
    <t>Osdushtdk@mail.ru</t>
  </si>
  <si>
    <t>@ooffozh</t>
  </si>
  <si>
    <t>Футбольная ассоциация Алматинской области</t>
  </si>
  <si>
    <t>Акылбеков Асхат Айдаргалиулы</t>
  </si>
  <si>
    <t>+7 701 111 30 68</t>
  </si>
  <si>
    <t>gulnara_tk@mail.ru</t>
  </si>
  <si>
    <t>Футбольный Союз Костанайской области</t>
  </si>
  <si>
    <t>Костанай</t>
  </si>
  <si>
    <t>Спанов Ерлан Махмутович</t>
  </si>
  <si>
    <t>+7 701 535 73 33</t>
  </si>
  <si>
    <t>FCKO@inbox.ru</t>
  </si>
  <si>
    <t>@fcko_kst</t>
  </si>
  <si>
    <t>Расписание футбольных матчей KZ</t>
  </si>
  <si>
    <t>Telegram-канал</t>
  </si>
  <si>
    <t>kaz.tgstat.com/channel/@footballmatchkz</t>
  </si>
  <si>
    <t>tgstat.kz</t>
  </si>
  <si>
    <t>Канал охвата, не покупатель.</t>
  </si>
  <si>
    <t>Total Football KZ</t>
  </si>
  <si>
    <t>t.me/totalfootball_official</t>
  </si>
  <si>
    <t>Партнёрское размещение.</t>
  </si>
  <si>
    <t>X</t>
  </si>
  <si>
    <t>Банки и страховые Астаны (HR-отделы)</t>
  </si>
  <si>
    <t>Заменено конкретными компаниями ниже</t>
  </si>
  <si>
    <t>НЕ ТРОГАТЬ</t>
  </si>
  <si>
    <t>Halyk, Kaspi, Freedom, Jusan, БЦК: ежегодные тимбилдинги и спартакиады. Продавать не софт, а «турнир под ключ с отчётом для руководства».</t>
  </si>
  <si>
    <t>КазМунайГаз — спортклуб/HR</t>
  </si>
  <si>
    <t>Bitrix — корпоративный сайт</t>
  </si>
  <si>
    <t>Участник АБЛ, корпоративные спартакиады</t>
  </si>
  <si>
    <t>nbfkz.com (список команд АБЛ)</t>
  </si>
  <si>
    <t>Уже играют в АБЛ — заходить через организатора лиги, а не в холодную.</t>
  </si>
  <si>
    <t>Қазақстан темір жолы (КТЖ) — спортклуб</t>
  </si>
  <si>
    <t>Корпоративный сайт</t>
  </si>
  <si>
    <t>Участник АБЛ</t>
  </si>
  <si>
    <t>Крупнейший работодатель страны, много филиалов — межфилиальные спартакиады.</t>
  </si>
  <si>
    <t>ERG (Eurasian Resources Group)</t>
  </si>
  <si>
    <t>erg.kz</t>
  </si>
  <si>
    <t>Горно-металлургический холдинг, предприятия в Павлодаре, Актобе, Хромтау.</t>
  </si>
  <si>
    <t>Казахстанская Лига Любителей Футбола (LLF)</t>
  </si>
  <si>
    <t>1sport + приложение MiniFootball</t>
  </si>
  <si>
    <t>30+ команд, 57K подписчиков в IG</t>
  </si>
  <si>
    <t>llf-ast.kz</t>
  </si>
  <si>
    <t>@llf_ast.kz</t>
  </si>
  <si>
    <t>llf-ast.kz / instagram</t>
  </si>
  <si>
    <t>Точный ICP, локально (ул. Габит Мусрепов 13). Крупнейшая аудитория среди любительских лиг РК. Сайт на конструкторе — показать, что Tournable закрывает таблицы+статистику+табло в одном месте.</t>
  </si>
  <si>
    <t>Федерация футбола Алматы</t>
  </si>
  <si>
    <t>JoinSport, сильный сайт</t>
  </si>
  <si>
    <t>Талғатұлы Бауыржан</t>
  </si>
  <si>
    <t>+7 701 717 34 94</t>
  </si>
  <si>
    <t>ffa.almaty@gmail.com</t>
  </si>
  <si>
    <t>@aff_resmi</t>
  </si>
  <si>
    <t>Крупнейший город — большой поток любительских и детских турниров.</t>
  </si>
  <si>
    <t>Игрок</t>
  </si>
  <si>
    <t>Что это</t>
  </si>
  <si>
    <t>Кого обслуживает в РК</t>
  </si>
  <si>
    <t>Чем проверено</t>
  </si>
  <si>
    <t>Наш вывод</t>
  </si>
  <si>
    <t>1sport / KMFF</t>
  </si>
  <si>
    <t>Казахстанская платформа: сайты плюс мобильное приложение MiniFootball (kz.llf.onesportone). Бэкенд — открытый API 1sportkz.com</t>
  </si>
  <si>
    <t>25 организаций: ЛЛФ Астана, Алматы нет, но есть Караганда, Шымкент, Актобе, Павлодар, Уральск, Кызылорда, Туркестан, Талдыкорган, Петропавловск, Семей, Оскемен, Костанай, Экибастуз, Балхаш, Улытау, Щучинск, плюс Qazaqstan League, KMFF Aktobe, Balalar Football League, Freedom BFL, Shymkent Junior</t>
  </si>
  <si>
    <t>Разобран их публичный API: 100 сезонов, 650+ лиг, составы с фото, история с 2009 года</t>
  </si>
  <si>
    <t>Вертикаль мини-футбола и футзала закрыта полностью. Не трогать. Заодно закрыт детский футбол через БФЛ</t>
  </si>
  <si>
    <t>JoinSport / Join.Football</t>
  </si>
  <si>
    <t>Конструктор сайтов для лиг и федераций. 4 тарифа от бесплатного, хостинг, домен, SSL, приложения iOS и Android, Telegram-боты, VK Mini Apps</t>
  </si>
  <si>
    <t>ФФА Алматы (ffa.kz), Almaty Hockey League (fha.kz), Almaty Student League (asbl.kz), ASVL (asvl.kz), PFL Almaty и их корпоративная лига, ФФ Астаны</t>
  </si>
  <si>
    <t>В HTML сайтов от 39 до 124 упоминаний joinsport. Компания зарегистрирована в Санкт-Петербурге, Фермское шоссе 30</t>
  </si>
  <si>
    <t>Поддерживает только футбол, хоккей, волейбол. Российское юрлицо: нет тенге, ЭСФ, актов и допуска к госзакупкам. Нет казахского языка. Заходить только с отдельным турниром, не с переездом</t>
  </si>
  <si>
    <t>AFL / ASTFL (Астана)</t>
  </si>
  <si>
    <t>Не вендор, а лига со своим решением: сайт на Joomla 2019 года плюс собственное приложение AFL Socca Kazakhstan (kz.soccaafl.app)</t>
  </si>
  <si>
    <t>Сама себя. Высшая и четыре лиги, Кубок AFL, YELEU CUP, Кубок Кенетаева, KAZAKHSTAN CHAMPIONS CUP, ветеранская лига</t>
  </si>
  <si>
    <t>Открыт сайт astfl.kz: ссылки на приложение в App Store и Google Play, статические таблицы, меморандум с KFF</t>
  </si>
  <si>
    <t>Платформу им не продать. Но состав их Высшей лиги — это 12 компаний Астаны с бюджетом на спорт. Плюс они конкурент по услуге: продают аренду залов и турниры корпоративным клиентам</t>
  </si>
  <si>
    <t>ABL (ablforpeople.com)</t>
  </si>
  <si>
    <t>Отдельная платформа любительского баскетбола с дивизионами по городам</t>
  </si>
  <si>
    <t>Astana Basketball League как дивизион</t>
  </si>
  <si>
    <t>Открыт сайт: SPA, ни JoinSport, ни 1sport</t>
  </si>
  <si>
    <t>Этот конкретный турнир занят. На остальной баскетбол Астаны не распространяется</t>
  </si>
  <si>
    <t>FIBA Organizer</t>
  </si>
  <si>
    <t>Статистический сервис FIBA</t>
  </si>
  <si>
    <t>Астанинская любительская баскетбольная лига при НФБ (АБЛ)</t>
  </si>
  <si>
    <t>Указан на странице АБЛ на nbfkz.com</t>
  </si>
  <si>
    <t>Считает статистику, но не даёт ни табло на экран, ни публичных страниц команд, ни отчёта. Заходить с отдельным турниром</t>
  </si>
  <si>
    <t>Event-агентства</t>
  </si>
  <si>
    <t>SPORT PROJECTS, SportEvents Almaty, Footballer.kz, J.Martin, AJ Events, Talisman, RedG</t>
  </si>
  <si>
    <t>Корпоративных заказчиков</t>
  </si>
  <si>
    <t>Сайты открыты: WordPress, Tilda, Bitrix. Турнирной системы нет ни у кого</t>
  </si>
  <si>
    <t>Это не конкуренты по софту, а канал. У них поток заказов и нет цифровой части. Партнёрство или подряд</t>
  </si>
  <si>
    <t>Что означает</t>
  </si>
  <si>
    <t>Что делать дальше</t>
  </si>
  <si>
    <t>Срок</t>
  </si>
  <si>
    <t>Норма конверсии</t>
  </si>
  <si>
    <t>Лид в базе, ни одного касания</t>
  </si>
  <si>
    <t>Первое касание по каналу из колонки «Канал 1-го касания», текст — с листа «Скрипты» по коду из колонки «Скрипт»</t>
  </si>
  <si>
    <t>Сегодня</t>
  </si>
  <si>
    <t>Приоритет A должен быть обработан весь</t>
  </si>
  <si>
    <t>В РАБОТЕ</t>
  </si>
  <si>
    <t>Написал или позвонил, ответа нет</t>
  </si>
  <si>
    <t>Follow-up через 3, 7 и 14 дней. После третьего — ЗАМОРОЖЕН</t>
  </si>
  <si>
    <t>3 / 7 / 14 дней</t>
  </si>
  <si>
    <t>25-35 процентов ответят</t>
  </si>
  <si>
    <t>ОТВЕТИЛ</t>
  </si>
  <si>
    <t>Есть диалог, интерес не подтверждён</t>
  </si>
  <si>
    <t>Три вопроса: сколько команд, чем ведёте сейчас, когда ближайший турнир. Затем звать на демо</t>
  </si>
  <si>
    <t>1-2 дня</t>
  </si>
  <si>
    <t>50 процентов дойдут до демо</t>
  </si>
  <si>
    <t>ДЕМО</t>
  </si>
  <si>
    <t>Показал платформу вживую или по видеосвязи</t>
  </si>
  <si>
    <t>В тот же день прислать ссылку на их турнир, заведённый мной вручную</t>
  </si>
  <si>
    <t>В тот же день</t>
  </si>
  <si>
    <t>40-60 процентов согласятся на пилот</t>
  </si>
  <si>
    <t>ПИЛОТ</t>
  </si>
  <si>
    <t>Ведут реальный турнир на Tournable</t>
  </si>
  <si>
    <t>Вести самому первые два тура. Собрать отзыв, скриншот, цифры</t>
  </si>
  <si>
    <t>2-3 недели</t>
  </si>
  <si>
    <t>30-40 процентов оплатят</t>
  </si>
  <si>
    <t>СЧЁТ</t>
  </si>
  <si>
    <t>Выставлено предложение или счёт</t>
  </si>
  <si>
    <t>Позвонить через два дня. Именно позвонить. Уточнить, кто подписывает</t>
  </si>
  <si>
    <t>2 дня</t>
  </si>
  <si>
    <t>60 процентов оплатят</t>
  </si>
  <si>
    <t>ПЛАТИТ</t>
  </si>
  <si>
    <t>Есть оплата</t>
  </si>
  <si>
    <t>Попросить рекомендацию двух коллег. Самый дешёвый источник лидов</t>
  </si>
  <si>
    <t>Через 2 недели</t>
  </si>
  <si>
    <t>1 клиент = 1-2 лида</t>
  </si>
  <si>
    <t>ЗАМОРОЖЕН</t>
  </si>
  <si>
    <t>Не ответил после трёх касаний или сказал «позже»</t>
  </si>
  <si>
    <t>Вернуться через 30 дней с новым поводом</t>
  </si>
  <si>
    <t>30 дней</t>
  </si>
  <si>
    <t>10-15 процентов оживают</t>
  </si>
  <si>
    <t>ОТКАЗ</t>
  </si>
  <si>
    <t>Явное «нет»</t>
  </si>
  <si>
    <t>Спросить причину одной фразой и записать в заметки</t>
  </si>
  <si>
    <t>Вердикт «Занят» или «Не клиент»</t>
  </si>
  <si>
    <t>Не тратить касания. Пересмотреть через полгода или когда появится повод</t>
  </si>
  <si>
    <t>Код</t>
  </si>
  <si>
    <t>Кому и когда</t>
  </si>
  <si>
    <t>Текст</t>
  </si>
  <si>
    <t>Лиги БЕЗ своей платформы (вердикт «Свободен»)</t>
  </si>
  <si>
    <t>Instagram Direct / WhatsApp</t>
  </si>
  <si>
    <t xml:space="preserve">Здравствуйте! Меня зовут Данияр, я делаю Tournable — казахстанскую платформу для проведения турниров.
Посмотрел вашу лигу. Мы закрываем рутину: календарь и сетка генерируются сами, таблица пересчитывается после каждого матча, у команды и игрока своя публичная страница со статистикой, у зрителей — ссылка на табло матча.
Я уже завёл ваш ближайший турнир в систему, чтобы не отнимать ваше время: &lt;ссылка&gt;. Посмотрите на своих командах. Если что-то не так — поправлю за пять минут.
Провести первый турнир могу бесплатно и настроить всё сам.</t>
  </si>
  <si>
    <t>Лиги НА JoinSport или со своей системой (вердикт «Частично»)</t>
  </si>
  <si>
    <t>Instagram Direct / почта с сайта</t>
  </si>
  <si>
    <t xml:space="preserve">Здравствуйте! Данияр, платформа Tournable.
Сразу оговорюсь: не предлагаю никуда переезжать, у вас нормально работающий сайт и историю с него терять незачем.
Предлагаю другое — взять один отдельный турнир: Кубок лиги, Матч звёзд, летний кубок, турнир среди спонсоров. Мы дадим то, чего в сайте нет: живое табло матча на экран в зале, публичные страницы игроков с фото и статистикой, отчёт по итогам в PDF с вашим логотипом — его удобно отдавать спонсорам.
Первый такой турнир проводим бесплатно и настраиваем сами. Для вас нулевой риск: основной чемпионат остаётся там, где есть.
Когда у вас ближайший кубок?</t>
  </si>
  <si>
    <t>Лигам со своим приложением (AFL и подобные)</t>
  </si>
  <si>
    <t>Instagram Direct / контакты с сайта</t>
  </si>
  <si>
    <t xml:space="preserve">Здравствуйте! Данияр, Tournable.
Видел, что у вас своё приложение — это уже больше, чем есть у большинства лиг страны, платформу вам предлагать смысла нет.
Обращаюсь по другому поводу: у вас в Высшей лиге играют команды крупных компаний. Мы делаем внутренние турниры для таких компаний — между отделами, филиалами, на корпоративные праздники. Это не конкурирует с вашим первенством, а идёт рядом.
Предлагаю партнёрство: вы даёте площадку и рекомендацию, мы ведём цифровую часть и делимся заказом. Готов приехать и обсудить за 15 минут.</t>
  </si>
  <si>
    <t>Компаниям: свой чемпионат внутри компании</t>
  </si>
  <si>
    <t>LinkedIn HR / WhatsApp / письмо</t>
  </si>
  <si>
    <t xml:space="preserve">Здравствуйте!
Обращаюсь по поводу внутренних спортивных мероприятий компании. Мы проводим корпоративные турниры и спартакиады под ключ и, в отличие от обычных агентств, даём к ним цифровую часть:
— каждый отдел или филиал получает свою страницу с составом, статистикой и фото игроков;
— таблица обновляется в реальном времени, сотрудники следят по ссылке с телефона;
— на экран в зале выводится живое табло матча;
— по итогам вы получаете отчёт в PDF с вашим логотипом: результаты, лучшие игроки, фото победителей. Это то, что показывают руководству и выкладывают во внутренний портал.
Форматы, которые чаще всего берут: турнир между отделами, спартакиада между филиалами, новогодний кубок, киберспортивный турнир для IT-подразделений.
Мы казахстанское ИП: договор, счёт в тенге, акт и ЭСФ — всё закрываем сами.
Могу прислать смету на ваш формат, если скажете примерное число команд и вид спорта.</t>
  </si>
  <si>
    <t>Вузы и студенческие лиги</t>
  </si>
  <si>
    <t>Почта спортотдела / Telegram студсовета</t>
  </si>
  <si>
    <t xml:space="preserve">Здравствуйте!
Я разработчик Tournable — казахстанской платформы для проведения турниров. Пишу по поводу ваших внутренних соревнований: межфакультетской спартакиады, кубка университета.
Что даёт платформа: автоматические сетки и группы, живая таблица, публичная страница турнира со статистикой игроков, табло матча для экрана в зале, отчёт в PDF по итогам. Интерфейс на казахском, русском и английском.
Ближайший турнир предлагаю провести бесплатно, я всё настрою и буду вести сам. Взамен прошу отзыв и разрешение использовать турнир как пример.
Готов приехать и показать за 15 минут.</t>
  </si>
  <si>
    <t>Арены, манежи, падел-клубы</t>
  </si>
  <si>
    <t>Instagram Direct / визит</t>
  </si>
  <si>
    <t xml:space="preserve">Здравствуйте!
У вас постоянно играют команды и проходят турниры. Предлагаю партнёрство.
Я бесплатно провожу ваш ближайший турнир на Tournable — сетка, таблица, табло, публичная страница, — а вы ставите ссылку в шапке профиля и рекомендуете организаторам, которые у вас арендуют.
Вам это добавляет ценности к аренде: не просто площадка, а площадка с готовой организацией турнира. Мне — доступ к организаторам.
Могу подъехать и показать за десять минут.</t>
  </si>
  <si>
    <t>Детские школы и академии</t>
  </si>
  <si>
    <t>Звонок / WhatsApp</t>
  </si>
  <si>
    <t xml:space="preserve">Здравствуйте! Я по поводу турниров вашей школы.
Делаю платформу Tournable: она ведёт расписание, таблицу и статистику по каждому ребёнку. Главное для вас — у каждого воспитанника появляется своя страница с голами, передачами и фото. Родители такое смотрят и пересылают друг другу, для набора работает лучше рекламы.
Ближайший турнир проведу бесплатно, чтобы вы посмотрели на своих детях. Когда следующий?</t>
  </si>
  <si>
    <t>Школьные лиги и управления образования</t>
  </si>
  <si>
    <t>Официальное письмо + звонок</t>
  </si>
  <si>
    <t xml:space="preserve">Тема: Цифровое сопровождение школьных соревнований
Здравствуйте!
ИП Tournable.app предлагает цифровое сопровождение школьных спортивных соревнований города.
Организатор получает: автоматическое расписание и сетки, онлайн-таблицы, доступные школам и родителям по ссылке, протоколы матчей, итоговый отчёт в PDF для отчётности. Школы получают публичные страницы команд и прозрачные результаты. Интерфейс на казахском и русском.
Готовы провести ближайшие соревнования в пилотном режиме без оплаты.
С уважением, ИП Tournable.app, tournable.app</t>
  </si>
  <si>
    <t>Управления спорта и образования, акиматы</t>
  </si>
  <si>
    <t xml:space="preserve">Тема: Включение в перечень поставщиков услуг по организации спортивных мероприятий
Здравствуйте!
ИП Tournable.app — казахстанский разработчик платформы для проведения спортивных соревнований (tournable.app) и организатор турниров под ключ.
Просим рассмотреть возможность включения в перечень потенциальных поставщиков по услугам: организация и проведение спортивных соревнований, судейское и техническое сопровождение, цифровое обеспечение соревнований — расписание, протоколы, онлайн-результаты, итоговая отчётность на казахском и русском языках.
Готовы провести пилотное мероприятие городского уровня для демонстрации возможностей.
С уважением, ИП Tournable.app</t>
  </si>
  <si>
    <t>Чаты и Telegram-каналы</t>
  </si>
  <si>
    <t>Не продавать первым сообщением. Порядок: вступить и три-пять дней отвечать по делу на чужие вопросы; выложить полезное без ссылки (шаблон положения о турнире, разбор правил при равенстве очков); только потом написать, что делаете сервис и готовы завести чей-то турнир бесплатно.</t>
  </si>
  <si>
    <t>ЗВОНОК</t>
  </si>
  <si>
    <t>Скрипт холодного звонка</t>
  </si>
  <si>
    <t xml:space="preserve">«Здравствуйте, это Данияр, платформа Tournable. Удобно говорить минуту?»
«Звоню по поводу ваших турниров. Мы сделали платформу, которая сама ведёт расписание, таблицу и статистику. Казахстанская, на трёх языках.»
Три вопроса: сколько команд обычно участвует; чем сейчас ведёте таблицу; когда ближайший турнир.
«Давайте я заведу ваш ближайший турнир сам и бесплатно, пришлю ссылку. Посмотрите на своих командах. Куда прислать — WhatsApp?»
Цену на первом звонке не называть. Цель звонка — согласие на демо-турнир.</t>
  </si>
  <si>
    <t>ВОЗР-Вендор</t>
  </si>
  <si>
    <t>Возражение: «У нас уже есть платформа / приложение»</t>
  </si>
  <si>
    <t>Любой</t>
  </si>
  <si>
    <t>«Знаю, смотрел. Я не предлагаю её менять — историю и данные терять глупо. Предлагаю взять один отдельный турнир, который в неё всё равно не помещается: кубок, Матч звёзд, корпоративный турнир. И дать к нему то, чего там нет: табло на экран, страницы игроков и отчёт для спонсора. Если не понравится — вы ничего не потеряли, я веду бесплатно.»</t>
  </si>
  <si>
    <t>ВОЗР-Цена</t>
  </si>
  <si>
    <t>Возражение: «Дорого»</t>
  </si>
  <si>
    <t>«Подписка 4 990 в месяц — это меньше часа аренды поля. Если из-за платформы придёт хотя бы одна команда за сезон, она окупится многократно. А первый турнир проводим бесплатно: сначала результат, потом разговор про оплату.»</t>
  </si>
  <si>
    <t>ВОЗР-Время</t>
  </si>
  <si>
    <t>Возражение: «Нет времени разбираться»</t>
  </si>
  <si>
    <t>«Разбираться не нужно. Я сам завожу команды, сам ставлю расписание, сам веду первые два тура. От вас — результаты матчей в WhatsApp. Когда увидите, что удобно, передам управление, там десять минут обучения.»</t>
  </si>
  <si>
    <t>ВОЗР-КП</t>
  </si>
  <si>
    <t>Возражение: «Пришлите коммерческое»</t>
  </si>
  <si>
    <t>«Пришлю сегодня. Чтобы оно было по делу: сколько у вас команд и какой формат — круговой или с плей-офф? И на какой турнир смотрите, ближайший или следующий сезон?» Всегда получить оба ответа: КП без квалификации уходит в никуда.</t>
  </si>
  <si>
    <t>ВОЗР-Потом</t>
  </si>
  <si>
    <t>Возражение: «Мы подумаем»</t>
  </si>
  <si>
    <t>«Конечно. Не буду дёргать, но поставлю напоминание. Когда у вас старт сезона — в сентябре? Наберу за две недели до, чтобы всё настроить без спешки. Нормально?» Уходить всегда с конкретной датой.</t>
  </si>
  <si>
    <t>ПОСЛЕ-ДЕМО</t>
  </si>
  <si>
    <t>Сразу после демо</t>
  </si>
  <si>
    <t>Спасибо за время! Как договорились: ваш турнир — &lt;ссылка&gt;, страница для команд — &lt;ссылка&gt;, табло для экрана — &lt;ссылка&gt;. Первые два тура веду я, от вас только результаты в этот чат. Стартуем с ближайшего тура?</t>
  </si>
  <si>
    <t>КП</t>
  </si>
  <si>
    <t>Короткое коммерческое предложение</t>
  </si>
  <si>
    <t>Почта / WhatsApp</t>
  </si>
  <si>
    <t xml:space="preserve">Tournable — казахстанская платформа для проведения спортивных турниров.
1. Автоматические календарь и сетки: круговой, плей-офф, группы плюс плей-офф, лига плюс плей-офф.
2. Живая таблица, статистика игроков, события по виду спорта.
3. Публичные страницы турнира, команд и игроков — открываются по ссылке без регистрации.
4. Табло матча в реальном времени для вывода на экран.
5. Отчёт по итогам в PDF, при необходимости с вашим логотипом.
6. Интерфейс на казахском, русском и английском.
7. До трёх со-редакторов.
Стоимость: бесплатно — один активный турнир до 16 команд. Pro — 4 990 ₸ в месяц или 44 990 ₸ в год. Цифровое ведение турнира силами нашей команды — от 60 000 ₸. Турнир под ключ — от 250 000 ₸.
Работаем как ИП Казахстана: договор, счёт в тенге, акт, ЭСФ.
Первый турнир проводим бесплатно и настраиваем сами. tournable.app</t>
  </si>
  <si>
    <t>ОТЗЫВ</t>
  </si>
  <si>
    <t>После пилота</t>
  </si>
  <si>
    <t>Турнир завершили, поздравляю! Две быстрые просьбы: напишите два-три предложения, что было удобно, а что нет — это войдёт на сайт с упоминанием вашей лиги. И подскажите двух коллег-организаторов, которым это было бы полезно, напишу им сам.</t>
  </si>
  <si>
    <t>День</t>
  </si>
  <si>
    <t>Действие</t>
  </si>
  <si>
    <t>Результат к вечеру</t>
  </si>
  <si>
    <t>Готово</t>
  </si>
  <si>
    <t>ПРАВИЛО ТЕСТА: касаемся только строк с вердиктом «Свободен» и приоритетом A. Никого из «Занят» и «Не клиент» не трогаем.</t>
  </si>
  <si>
    <t>КРИТЕРИЙ: если за 14 дней не будет минимум двух разговоров, дошедших до обсуждения денег, — направление сворачиваем.</t>
  </si>
  <si>
    <t>1</t>
  </si>
  <si>
    <t>Отфильтровать лист «Лиды»: Приоритет = A и Вердикт = Свободен. Это рабочий список на две недели</t>
  </si>
  <si>
    <t>Список перед глазами</t>
  </si>
  <si>
    <t>Записать видео с экрана на 60 секунд: создание турнира, ввод результата, публичная страница, табло</t>
  </si>
  <si>
    <t>Файл готов к отправке в WhatsApp</t>
  </si>
  <si>
    <t>2</t>
  </si>
  <si>
    <t>Завести демо-турниры для пяти лидов: ASTANA CUP, Streetball Astana, LFA, АЛХЛ, Казахстанская лига любителей волейбола</t>
  </si>
  <si>
    <t>5 ссылок «вот ваш турнир»</t>
  </si>
  <si>
    <t>10 касаний по скрипту S1 с готовыми ссылками</t>
  </si>
  <si>
    <t>Статусы переведены в «В РАБОТЕ»</t>
  </si>
  <si>
    <t>3</t>
  </si>
  <si>
    <t>Обзвон всех, у кого есть телефон: СК «Эверест», Alpine Padel, QCF, KESL, Footballer.kz, SportEvents</t>
  </si>
  <si>
    <t>6 звонков, 2-3 диалога</t>
  </si>
  <si>
    <t>4</t>
  </si>
  <si>
    <t>Падел и киберспорт: Add Padel, Alpine Padel, QCF, KESL, iPlay, Федерация киберспорта СКО</t>
  </si>
  <si>
    <t>6 касаний</t>
  </si>
  <si>
    <t>5</t>
  </si>
  <si>
    <t>Площадки Астаны лично: Football Center, FootZone, Dostyq Arena</t>
  </si>
  <si>
    <t>3 визита, не презентация, а телефон в руках</t>
  </si>
  <si>
    <t>6-7</t>
  </si>
  <si>
    <t>Объявления: карточка в 2GIS, бизнес-профиль Instagram, три объявления на OLX</t>
  </si>
  <si>
    <t>4 живых объявления</t>
  </si>
  <si>
    <t>8</t>
  </si>
  <si>
    <t>Компании из Высшей лиги AFL: BI Group, Allur, KazEuroTrans, OMA — по скрипту S3-Внутренний</t>
  </si>
  <si>
    <t>4 касания в LinkedIn или через AFL</t>
  </si>
  <si>
    <t>9</t>
  </si>
  <si>
    <t>Вузы Астаны: NU, ЕНУ, Astana IT University, КАЗГЮУ</t>
  </si>
  <si>
    <t>4 письма и сообщения студсоветам</t>
  </si>
  <si>
    <t>10</t>
  </si>
  <si>
    <t>Первые демо. После каждого — сообщение «ПОСЛЕ-ДЕМО» в тот же час</t>
  </si>
  <si>
    <t>1-3 демо</t>
  </si>
  <si>
    <t>11</t>
  </si>
  <si>
    <t>Частично занятые, по скрипту S9: АБЛ, Almaty Hockey League, НЛХЛ, Корпоративная лига PFL</t>
  </si>
  <si>
    <t>4 касания про отдельный турнир</t>
  </si>
  <si>
    <t>12</t>
  </si>
  <si>
    <t>Крупные работодатели: Kaspi, Halyk, Freedom, Самрук-Қазына</t>
  </si>
  <si>
    <t>4 касания</t>
  </si>
  <si>
    <t>13</t>
  </si>
  <si>
    <t>Follow-up по всем, кому писали в дни 2-5. Регистрация поставщиком на goszakup.gov.kz</t>
  </si>
  <si>
    <t>Повторные касания отправлены</t>
  </si>
  <si>
    <t>14</t>
  </si>
  <si>
    <t>Подсчёт: касаний, ответов, демо, разговоров о деньгах. Решение по критерию теста</t>
  </si>
  <si>
    <t>Лист «Метрики» заполнен фактом</t>
  </si>
  <si>
    <t>Пакет</t>
  </si>
  <si>
    <t>Что входит</t>
  </si>
  <si>
    <t>Кому</t>
  </si>
  <si>
    <t>Цена, ₸</t>
  </si>
  <si>
    <t>Скорость денег</t>
  </si>
  <si>
    <t>Pro-подписка</t>
  </si>
  <si>
    <t>Безлимит турниров и команд, все форматы, табло, экспорт PDF, до 3 со-редакторов</t>
  </si>
  <si>
    <t>Лиги, которые ведут сами</t>
  </si>
  <si>
    <t>4 990 в месяц / 44 990 в год</t>
  </si>
  <si>
    <t>Медленно, повторяется</t>
  </si>
  <si>
    <t>Цифровое ведение турнира</t>
  </si>
  <si>
    <t>Завожу команды, ставлю расписание, веду результаты и статистику, публичная страница, табло, итоговый PDF</t>
  </si>
  <si>
    <t>Лиги без администратора</t>
  </si>
  <si>
    <t>60 000 за турнир до 16 команд</t>
  </si>
  <si>
    <t>Быстро</t>
  </si>
  <si>
    <t>Отдельный турнир для чужой лиги</t>
  </si>
  <si>
    <t>Кубок, Матч звёзд, летний турнир параллельно их основному сайту</t>
  </si>
  <si>
    <t>Лиги на JoinSport и со своей системой</t>
  </si>
  <si>
    <t>60 000-120 000</t>
  </si>
  <si>
    <t>Средне</t>
  </si>
  <si>
    <t>Внутренний турнир компании</t>
  </si>
  <si>
    <t>Турнир между отделами или филиалами: организация, судейство, табло, брендированный отчёт для руководства</t>
  </si>
  <si>
    <t>Компании из сегмента «Корпоративные клиенты»</t>
  </si>
  <si>
    <t>от 250 000</t>
  </si>
  <si>
    <t>Самые быстрые деньги</t>
  </si>
  <si>
    <t>Корпоративная спартакиада</t>
  </si>
  <si>
    <t>3-5 видов спорта, до 20 команд, 1-2 дня, полный цикл</t>
  </si>
  <si>
    <t>Нацкомпании, банки, холдинги</t>
  </si>
  <si>
    <t>от 700 000</t>
  </si>
  <si>
    <t>Самый крупный чек</t>
  </si>
  <si>
    <t>Сопровождение сезона</t>
  </si>
  <si>
    <t>Ведение лиги весь сезон плюс еженедельная выгрузка для соцсетей</t>
  </si>
  <si>
    <t>Городские лиги на 8-24 команды</t>
  </si>
  <si>
    <t>150 000 за сезон</t>
  </si>
  <si>
    <t>Подряд у event-агентства</t>
  </si>
  <si>
    <t>Только цифровая часть чужого мероприятия</t>
  </si>
  <si>
    <t>SPORT PROJECTS, SportEvents, Footballer.kz</t>
  </si>
  <si>
    <t>40 000-80 000 за мероприятие</t>
  </si>
  <si>
    <t>Быстро, объёмом</t>
  </si>
  <si>
    <t>ВАЖНО</t>
  </si>
  <si>
    <t>Цены — предложение, а не проверенный рынком прайс. Первые три сделки можно закрыть дешевле ради кейса, но не бесплатно.</t>
  </si>
  <si>
    <t>ПРЕИМУЩЕСТВО</t>
  </si>
  <si>
    <t>Оба конкурента-вендора не могут выставить казахстанский счёт с ЭСФ и актом. JoinSport — российское юрлицо, в госзакупках РК участвовать не может. Для компаний, вузов, школ и акиматов это решающий довод, называть его прямо.</t>
  </si>
  <si>
    <t>Площадка</t>
  </si>
  <si>
    <t>Что делать</t>
  </si>
  <si>
    <t>Готовый текст</t>
  </si>
  <si>
    <t>Стоимость</t>
  </si>
  <si>
    <t>2GIS</t>
  </si>
  <si>
    <t>Карточка организации, рубрики «Организация спортивных мероприятий», «Спортивные соревнования». Фото, часы работы, WhatsApp</t>
  </si>
  <si>
    <t xml:space="preserve">Tournable — организация и цифровое сопровождение турниров.
Проводим спортивные турниры и спартакиады под ключ в Астане: футбол, баскетбол, волейбол, хоккей, падел, киберспорт. Автоматические сетки и таблицы, онлайн-табло, публичные страницы команд и игроков, итоговый отчёт. Работаем с компаниями, лигами, школами и вузами. Договор, счёт в тенге, акт и ЭСФ.</t>
  </si>
  <si>
    <t>Бесплатно</t>
  </si>
  <si>
    <t>Instagram — профиль</t>
  </si>
  <si>
    <t>Бизнес-профиль, кнопка WhatsApp, закреплённые сторис: как выглядит турнир, цены, отзывы</t>
  </si>
  <si>
    <t xml:space="preserve">Турниры под ключ и онлайн-таблицы
Футбол · Баскетбол · Волейбол · Падел · Киберспорт
Астана и вся РК
Первый турнир проводим бесплатно
tournable.app</t>
  </si>
  <si>
    <t>OLX.kz</t>
  </si>
  <si>
    <t>Три отдельных объявления: корпоративный турнир, ведение лиги, детский турнир</t>
  </si>
  <si>
    <t xml:space="preserve">Организация спортивного турнира под ключ — Астана.
Проведём турнир для вашей компании, школы или лиги. Берём на себя всё: площадка, судьи, расписание, награждение. Отдельно цифровая часть: онлайн-таблица, статистика игроков, табло на экран, брендированный отчёт. От 250 000 ₸ за турнир, цифровое ведение от 60 000 ₸.</t>
  </si>
  <si>
    <t>Google Бизнес</t>
  </si>
  <si>
    <t>Категория «Организатор мероприятий». Даёт выдачу по запросу «организация турнира астана»</t>
  </si>
  <si>
    <t>Тот же текст, что в 2GIS</t>
  </si>
  <si>
    <t>Свой Telegram-канал</t>
  </si>
  <si>
    <t>Каждый ведущийся турнир — готовый пост: участники, ссылка на таблицу, приглашение сделать так же</t>
  </si>
  <si>
    <t>Контент делается сам из работы</t>
  </si>
  <si>
    <t>Instagram — таргет</t>
  </si>
  <si>
    <t>Только после двух-трёх кейсов. Цель кампании — переписка, не переход на сайт. Креатив — видео с экрана</t>
  </si>
  <si>
    <t>Ведёте турнир в Excel? Заведём вашу лигу за вечер: расписание, таблица, статистика игроков, табло для экрана. Напишите — первый турнир проведём бесплатно.</t>
  </si>
  <si>
    <t>от 15 000 ₸ в неделю</t>
  </si>
  <si>
    <t>Регистрация поставщиком, фильтр по словам: соревнование, спартакиада, турнир, судейство</t>
  </si>
  <si>
    <t>Заявки по форме портала</t>
  </si>
  <si>
    <t>Бесплатно, нужна ЭЦП</t>
  </si>
  <si>
    <t>Ключевой канал для корпоративного сегмента: искать HR-директоров и HR BP компаний из листа «Лиды»</t>
  </si>
  <si>
    <t>Первое сообщение — сокращённый S3-Внутренний, до пяти строк</t>
  </si>
  <si>
    <t>Показатель</t>
  </si>
  <si>
    <t>Факт</t>
  </si>
  <si>
    <t>Цель за 14 дней</t>
  </si>
  <si>
    <t>Комментарий</t>
  </si>
  <si>
    <t>Всего в базе</t>
  </si>
  <si>
    <t>Из них реально рабочих — только «Свободен»</t>
  </si>
  <si>
    <t>Своей турнирной системы нет — заходим первыми</t>
  </si>
  <si>
    <t>Есть платформа. Только отдельный турнир, скрипт S9</t>
  </si>
  <si>
    <t>Не тратить касания</t>
  </si>
  <si>
    <t>Каналы и площадки размещения, не покупатели</t>
  </si>
  <si>
    <t>Рабочий список: A и Свободен</t>
  </si>
  <si>
    <t>обработать весь</t>
  </si>
  <si>
    <t>Именно этот список закрывается за две недели</t>
  </si>
  <si>
    <t>Касаний сделано</t>
  </si>
  <si>
    <t>Считается по заполненной дате касания</t>
  </si>
  <si>
    <t>Ответили</t>
  </si>
  <si>
    <t>Норма 25-35 процентов</t>
  </si>
  <si>
    <t>Демо проведено</t>
  </si>
  <si>
    <t>Пилотов запущено</t>
  </si>
  <si>
    <t>Пилот — единственный надёжный предиктор оплаты</t>
  </si>
  <si>
    <t>Разговоров о деньгах</t>
  </si>
  <si>
    <t>КРИТЕРИЙ ТЕСТА: меньше двух за 14 дней — направление сворачиваем</t>
  </si>
  <si>
    <t>Потенциал живой воронки, ₸</t>
  </si>
  <si>
    <t>Сколько денег сейчас в работе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</si>
</sst>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
  </numFmts>
  <fonts count="3" x14ac:knownFonts="1">
    <font>
      <color theme="1"/>
      <family val="2"/>
      <scheme val="minor"/>
      <sz val="11"/>
      <name val="Calibri"/>
    </font>
    <font>
      <b/>
      <color rgb="FFFFFFFF"/>
      <sz val="10"/>
      <name val="Arial"/>
    </font>
    <font>
      <sz val="10"/>
      <name val="Arial"/>
    </font>
  </fonts>
  <fills count="7">
    <fill>
      <patternFill patternType="none"/>
    </fill>
    <fill>
      <patternFill patternType="gray125"/>
    </fill>
    <fill>
      <patternFill patternType="solid">
        <fgColor rgb="FF1F3B57"/>
      </patternFill>
    </fill>
    <fill>
      <patternFill patternType="solid">
        <fgColor rgb="FFD9EAD3"/>
      </patternFill>
    </fill>
    <fill>
      <patternFill patternType="solid">
        <fgColor rgb="FFFFF2CC"/>
      </patternFill>
    </fill>
    <fill>
      <patternFill patternType="solid">
        <fgColor rgb="FFD9D9D9"/>
      </patternFill>
    </fill>
    <fill>
      <patternFill patternType="solid">
        <fgColor rgb="FFF4CC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164" fontId="0" fillId="0" borderId="0" xfId="0" applyNumberFormat="1"/>
    <xf numFmtId="0" fontId="1" fillId="2" borderId="0" xfId="0" applyFont="1" applyFill="1" applyAlignment="1">
      <alignment vertical="center" wrapText="1"/>
    </xf>
    <xf numFmtId="164" fontId="1" fillId="2" borderId="0" xfId="0" applyNumberFormat="1" applyFont="1" applyFill="1" applyAlignment="1">
      <alignment vertical="center" wrapText="1"/>
    </xf>
    <xf numFmtId="0" fontId="2" fillId="0" borderId="0" xfId="0" applyFont="1" applyAlignment="1">
      <alignment vertical="top" wrapText="1"/>
    </xf>
    <xf numFmtId="0" fontId="2" fillId="0" borderId="1" xfId="0" applyFont="1" applyBorder="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164" fontId="2" fillId="0" borderId="1" xfId="0" applyNumberFormat="1"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4" borderId="1" xfId="0" applyFont="1" applyFill="1" applyBorder="1" applyAlignment="1">
      <alignment horizontal="center" vertical="top"/>
    </xf>
    <xf numFmtId="0" fontId="2" fillId="6" borderId="1" xfId="0" applyFont="1" applyFill="1" applyBorder="1" applyAlignment="1">
      <alignment vertical="top" wrapText="1"/>
    </xf>
    <xf numFmtId="0" fontId="2" fillId="6" borderId="1" xfId="0" applyFont="1" applyFill="1" applyBorder="1" applyAlignment="1">
      <alignment horizontal="center" vertical="top"/>
    </xf>
    <xf numFmtId="0" fontId="2" fillId="5"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0"/>
  <sheetViews>
    <sheetView workbookViewId="0">
      <pane xSplit="3" ySplit="1" topLeftCell="D2" activePane="bottomRight" state="frozen"/>
      <selection pane="bottomRight"/>
    </sheetView>
  </sheetViews>
  <sheetFormatPr defaultRowHeight="15" outlineLevelRow="0" outlineLevelCol="0" x14ac:dyDescent="55"/>
  <cols>
    <col min="1" max="1" width="6" customWidth="1"/>
    <col min="2" max="2" width="10" customWidth="1"/>
    <col min="3" max="3" width="42" customWidth="1"/>
    <col min="4" max="4" width="12" customWidth="1"/>
    <col min="5" max="5" width="40" customWidth="1"/>
    <col min="6" max="6" width="22" customWidth="1"/>
    <col min="7" max="7" width="18" customWidth="1"/>
    <col min="8" max="8" width="16" customWidth="1"/>
    <col min="9" max="9" width="38" customWidth="1"/>
    <col min="10" max="10" width="22" customWidth="1"/>
    <col min="11" max="11" width="17" customWidth="1"/>
    <col min="12" max="13" width="26" customWidth="1"/>
    <col min="14" max="14" width="24" customWidth="1"/>
    <col min="15" max="16" width="22" customWidth="1"/>
    <col min="17" max="17" width="15" customWidth="1"/>
    <col min="18" max="19" width="13" customWidth="1"/>
    <col min="20" max="20" width="24" customWidth="1"/>
    <col min="21" max="21" width="14" customWidth="1"/>
    <col min="22" max="22" width="14" style="1" customWidth="1"/>
    <col min="23" max="23" width="26" customWidth="1"/>
    <col min="24" max="24" width="70" customWidth="1"/>
  </cols>
  <sheetData>
    <row r="1" ht="32" customHeight="1" spans="1:24"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2" t="s">
        <v>22</v>
      </c>
      <c r="X1" s="2" t="s">
        <v>23</v>
      </c>
    </row>
    <row r="2" spans="1:24" s="4" customFormat="1" x14ac:dyDescent="0.25">
      <c r="A2" s="5">
        <v>1</v>
      </c>
      <c r="B2" s="6" t="s">
        <v>24</v>
      </c>
      <c r="C2" s="5" t="s">
        <v>25</v>
      </c>
      <c r="D2" s="7" t="s">
        <v>26</v>
      </c>
      <c r="E2" s="5" t="s">
        <v>27</v>
      </c>
      <c r="F2" s="5" t="s">
        <v>28</v>
      </c>
      <c r="G2" s="5" t="s">
        <v>29</v>
      </c>
      <c r="H2" s="5" t="s">
        <v>30</v>
      </c>
      <c r="I2" s="5" t="s">
        <v>31</v>
      </c>
      <c r="J2" s="5" t="s">
        <v>32</v>
      </c>
      <c r="K2" s="5" t="s">
        <v>32</v>
      </c>
      <c r="L2" s="5" t="s">
        <v>32</v>
      </c>
      <c r="M2" s="5" t="s">
        <v>32</v>
      </c>
      <c r="N2" s="5" t="s">
        <v>32</v>
      </c>
      <c r="O2" s="5" t="s">
        <v>32</v>
      </c>
      <c r="P2" s="5" t="s">
        <v>33</v>
      </c>
      <c r="Q2" s="5" t="s">
        <v>34</v>
      </c>
      <c r="R2" s="5" t="s">
        <v>35</v>
      </c>
      <c r="S2" s="5" t="s">
        <v>32</v>
      </c>
      <c r="T2" s="5" t="s">
        <v>32</v>
      </c>
      <c r="U2" s="5" t="s">
        <v>32</v>
      </c>
      <c r="V2" s="8">
        <v>400000</v>
      </c>
      <c r="W2" s="5" t="s">
        <v>36</v>
      </c>
      <c r="X2" s="5" t="s">
        <v>37</v>
      </c>
    </row>
    <row r="3" spans="1:24" s="4" customFormat="1" x14ac:dyDescent="0.25">
      <c r="A3" s="5">
        <v>2</v>
      </c>
      <c r="B3" s="6" t="s">
        <v>24</v>
      </c>
      <c r="C3" s="5" t="s">
        <v>38</v>
      </c>
      <c r="D3" s="7" t="s">
        <v>26</v>
      </c>
      <c r="E3" s="5" t="s">
        <v>39</v>
      </c>
      <c r="F3" s="5" t="s">
        <v>40</v>
      </c>
      <c r="G3" s="5" t="s">
        <v>41</v>
      </c>
      <c r="H3" s="5" t="s">
        <v>30</v>
      </c>
      <c r="I3" s="5" t="s">
        <v>42</v>
      </c>
      <c r="J3" s="5" t="s">
        <v>32</v>
      </c>
      <c r="K3" s="5" t="s">
        <v>32</v>
      </c>
      <c r="L3" s="5" t="s">
        <v>32</v>
      </c>
      <c r="M3" s="5" t="s">
        <v>43</v>
      </c>
      <c r="N3" s="5" t="s">
        <v>32</v>
      </c>
      <c r="O3" s="5" t="s">
        <v>32</v>
      </c>
      <c r="P3" s="5" t="s">
        <v>44</v>
      </c>
      <c r="Q3" s="5" t="s">
        <v>45</v>
      </c>
      <c r="R3" s="5" t="s">
        <v>35</v>
      </c>
      <c r="S3" s="5" t="s">
        <v>32</v>
      </c>
      <c r="T3" s="5" t="s">
        <v>32</v>
      </c>
      <c r="U3" s="5" t="s">
        <v>32</v>
      </c>
      <c r="V3" s="8">
        <v>40000</v>
      </c>
      <c r="W3" s="5" t="s">
        <v>43</v>
      </c>
      <c r="X3" s="5" t="s">
        <v>46</v>
      </c>
    </row>
    <row r="4" spans="1:24" s="4" customFormat="1" x14ac:dyDescent="0.25">
      <c r="A4" s="5">
        <v>3</v>
      </c>
      <c r="B4" s="6" t="s">
        <v>24</v>
      </c>
      <c r="C4" s="5" t="s">
        <v>47</v>
      </c>
      <c r="D4" s="7" t="s">
        <v>26</v>
      </c>
      <c r="E4" s="5" t="s">
        <v>48</v>
      </c>
      <c r="F4" s="5" t="s">
        <v>40</v>
      </c>
      <c r="G4" s="5" t="s">
        <v>49</v>
      </c>
      <c r="H4" s="5" t="s">
        <v>30</v>
      </c>
      <c r="I4" s="5" t="s">
        <v>32</v>
      </c>
      <c r="J4" s="5" t="s">
        <v>32</v>
      </c>
      <c r="K4" s="5" t="s">
        <v>50</v>
      </c>
      <c r="L4" s="5" t="s">
        <v>32</v>
      </c>
      <c r="M4" s="5" t="s">
        <v>32</v>
      </c>
      <c r="N4" s="5" t="s">
        <v>32</v>
      </c>
      <c r="O4" s="5" t="s">
        <v>32</v>
      </c>
      <c r="P4" s="5" t="s">
        <v>44</v>
      </c>
      <c r="Q4" s="5" t="s">
        <v>45</v>
      </c>
      <c r="R4" s="5" t="s">
        <v>35</v>
      </c>
      <c r="S4" s="5" t="s">
        <v>32</v>
      </c>
      <c r="T4" s="5" t="s">
        <v>32</v>
      </c>
      <c r="U4" s="5" t="s">
        <v>32</v>
      </c>
      <c r="V4" s="8">
        <v>40000</v>
      </c>
      <c r="W4" s="5" t="s">
        <v>51</v>
      </c>
      <c r="X4" s="5" t="s">
        <v>52</v>
      </c>
    </row>
    <row r="5" spans="1:24" s="4" customFormat="1" x14ac:dyDescent="0.25">
      <c r="A5" s="5">
        <v>4</v>
      </c>
      <c r="B5" s="6" t="s">
        <v>24</v>
      </c>
      <c r="C5" s="5" t="s">
        <v>53</v>
      </c>
      <c r="D5" s="7" t="s">
        <v>26</v>
      </c>
      <c r="E5" s="5" t="s">
        <v>54</v>
      </c>
      <c r="F5" s="5" t="s">
        <v>55</v>
      </c>
      <c r="G5" s="5" t="s">
        <v>55</v>
      </c>
      <c r="H5" s="5" t="s">
        <v>56</v>
      </c>
      <c r="I5" s="5" t="s">
        <v>57</v>
      </c>
      <c r="J5" s="5" t="s">
        <v>58</v>
      </c>
      <c r="K5" s="5" t="s">
        <v>59</v>
      </c>
      <c r="L5" s="5" t="s">
        <v>60</v>
      </c>
      <c r="M5" s="5" t="s">
        <v>61</v>
      </c>
      <c r="N5" s="5" t="s">
        <v>62</v>
      </c>
      <c r="O5" s="5" t="s">
        <v>63</v>
      </c>
      <c r="P5" s="5" t="s">
        <v>64</v>
      </c>
      <c r="Q5" s="5" t="s">
        <v>65</v>
      </c>
      <c r="R5" s="5" t="s">
        <v>35</v>
      </c>
      <c r="S5" s="5" t="s">
        <v>32</v>
      </c>
      <c r="T5" s="5" t="s">
        <v>32</v>
      </c>
      <c r="U5" s="5" t="s">
        <v>32</v>
      </c>
      <c r="V5" s="8">
        <v>80000</v>
      </c>
      <c r="W5" s="5" t="s">
        <v>66</v>
      </c>
      <c r="X5" s="5" t="s">
        <v>67</v>
      </c>
    </row>
    <row r="6" spans="1:24" s="4" customFormat="1" x14ac:dyDescent="0.25">
      <c r="A6" s="5">
        <v>5</v>
      </c>
      <c r="B6" s="6" t="s">
        <v>24</v>
      </c>
      <c r="C6" s="5" t="s">
        <v>68</v>
      </c>
      <c r="D6" s="7" t="s">
        <v>26</v>
      </c>
      <c r="E6" s="5" t="s">
        <v>69</v>
      </c>
      <c r="F6" s="5" t="s">
        <v>55</v>
      </c>
      <c r="G6" s="5" t="s">
        <v>55</v>
      </c>
      <c r="H6" s="5" t="s">
        <v>30</v>
      </c>
      <c r="I6" s="5" t="s">
        <v>70</v>
      </c>
      <c r="J6" s="5" t="s">
        <v>32</v>
      </c>
      <c r="K6" s="5" t="s">
        <v>71</v>
      </c>
      <c r="L6" s="5" t="s">
        <v>72</v>
      </c>
      <c r="M6" s="5" t="s">
        <v>73</v>
      </c>
      <c r="N6" s="5" t="s">
        <v>62</v>
      </c>
      <c r="O6" s="5" t="s">
        <v>74</v>
      </c>
      <c r="P6" s="5" t="s">
        <v>75</v>
      </c>
      <c r="Q6" s="5" t="s">
        <v>76</v>
      </c>
      <c r="R6" s="5" t="s">
        <v>35</v>
      </c>
      <c r="S6" s="5" t="s">
        <v>32</v>
      </c>
      <c r="T6" s="5" t="s">
        <v>32</v>
      </c>
      <c r="U6" s="5" t="s">
        <v>32</v>
      </c>
      <c r="V6" s="8">
        <v>200000</v>
      </c>
      <c r="W6" s="5" t="s">
        <v>77</v>
      </c>
      <c r="X6" s="5" t="s">
        <v>78</v>
      </c>
    </row>
    <row r="7" spans="1:24" s="4" customFormat="1" x14ac:dyDescent="0.25">
      <c r="A7" s="5">
        <v>6</v>
      </c>
      <c r="B7" s="6" t="s">
        <v>24</v>
      </c>
      <c r="C7" s="5" t="s">
        <v>79</v>
      </c>
      <c r="D7" s="7" t="s">
        <v>26</v>
      </c>
      <c r="E7" s="5" t="s">
        <v>80</v>
      </c>
      <c r="F7" s="5" t="s">
        <v>81</v>
      </c>
      <c r="G7" s="5" t="s">
        <v>82</v>
      </c>
      <c r="H7" s="5" t="s">
        <v>30</v>
      </c>
      <c r="I7" s="5" t="s">
        <v>83</v>
      </c>
      <c r="J7" s="5" t="s">
        <v>32</v>
      </c>
      <c r="K7" s="5" t="s">
        <v>32</v>
      </c>
      <c r="L7" s="5" t="s">
        <v>32</v>
      </c>
      <c r="M7" s="5" t="s">
        <v>84</v>
      </c>
      <c r="N7" s="5" t="s">
        <v>32</v>
      </c>
      <c r="O7" s="5" t="s">
        <v>32</v>
      </c>
      <c r="P7" s="5" t="s">
        <v>85</v>
      </c>
      <c r="Q7" s="5" t="s">
        <v>86</v>
      </c>
      <c r="R7" s="5" t="s">
        <v>35</v>
      </c>
      <c r="S7" s="5" t="s">
        <v>32</v>
      </c>
      <c r="T7" s="5" t="s">
        <v>32</v>
      </c>
      <c r="U7" s="5" t="s">
        <v>32</v>
      </c>
      <c r="V7" s="8">
        <v>700000</v>
      </c>
      <c r="W7" s="5" t="s">
        <v>87</v>
      </c>
      <c r="X7" s="5" t="s">
        <v>88</v>
      </c>
    </row>
    <row r="8" spans="1:24" s="4" customFormat="1" x14ac:dyDescent="0.25">
      <c r="A8" s="5">
        <v>7</v>
      </c>
      <c r="B8" s="6" t="s">
        <v>24</v>
      </c>
      <c r="C8" s="5" t="s">
        <v>89</v>
      </c>
      <c r="D8" s="7" t="s">
        <v>26</v>
      </c>
      <c r="E8" s="5" t="s">
        <v>90</v>
      </c>
      <c r="F8" s="5" t="s">
        <v>81</v>
      </c>
      <c r="G8" s="5" t="s">
        <v>91</v>
      </c>
      <c r="H8" s="5" t="s">
        <v>30</v>
      </c>
      <c r="I8" s="5" t="s">
        <v>92</v>
      </c>
      <c r="J8" s="5" t="s">
        <v>32</v>
      </c>
      <c r="K8" s="5" t="s">
        <v>32</v>
      </c>
      <c r="L8" s="5" t="s">
        <v>32</v>
      </c>
      <c r="M8" s="5" t="s">
        <v>93</v>
      </c>
      <c r="N8" s="5" t="s">
        <v>32</v>
      </c>
      <c r="O8" s="5" t="s">
        <v>32</v>
      </c>
      <c r="P8" s="5" t="s">
        <v>94</v>
      </c>
      <c r="Q8" s="5" t="s">
        <v>86</v>
      </c>
      <c r="R8" s="5" t="s">
        <v>35</v>
      </c>
      <c r="S8" s="5" t="s">
        <v>32</v>
      </c>
      <c r="T8" s="5" t="s">
        <v>32</v>
      </c>
      <c r="U8" s="5" t="s">
        <v>32</v>
      </c>
      <c r="V8" s="8">
        <v>200000</v>
      </c>
      <c r="W8" s="5" t="s">
        <v>93</v>
      </c>
      <c r="X8" s="5" t="s">
        <v>95</v>
      </c>
    </row>
    <row r="9" spans="1:24" s="4" customFormat="1" x14ac:dyDescent="0.25">
      <c r="A9" s="5">
        <v>8</v>
      </c>
      <c r="B9" s="6" t="s">
        <v>24</v>
      </c>
      <c r="C9" s="5" t="s">
        <v>96</v>
      </c>
      <c r="D9" s="7" t="s">
        <v>26</v>
      </c>
      <c r="E9" s="5" t="s">
        <v>80</v>
      </c>
      <c r="F9" s="5" t="s">
        <v>81</v>
      </c>
      <c r="G9" s="5" t="s">
        <v>82</v>
      </c>
      <c r="H9" s="5" t="s">
        <v>30</v>
      </c>
      <c r="I9" s="5" t="s">
        <v>83</v>
      </c>
      <c r="J9" s="5" t="s">
        <v>32</v>
      </c>
      <c r="K9" s="5" t="s">
        <v>32</v>
      </c>
      <c r="L9" s="5" t="s">
        <v>32</v>
      </c>
      <c r="M9" s="5" t="s">
        <v>97</v>
      </c>
      <c r="N9" s="5" t="s">
        <v>32</v>
      </c>
      <c r="O9" s="5" t="s">
        <v>32</v>
      </c>
      <c r="P9" s="5" t="s">
        <v>85</v>
      </c>
      <c r="Q9" s="5" t="s">
        <v>86</v>
      </c>
      <c r="R9" s="5" t="s">
        <v>35</v>
      </c>
      <c r="S9" s="5" t="s">
        <v>32</v>
      </c>
      <c r="T9" s="5" t="s">
        <v>32</v>
      </c>
      <c r="U9" s="5" t="s">
        <v>32</v>
      </c>
      <c r="V9" s="8">
        <v>700000</v>
      </c>
      <c r="W9" s="5" t="s">
        <v>98</v>
      </c>
      <c r="X9" s="5" t="s">
        <v>99</v>
      </c>
    </row>
    <row r="10" spans="1:24" s="4" customFormat="1" x14ac:dyDescent="0.25">
      <c r="A10" s="5">
        <v>9</v>
      </c>
      <c r="B10" s="6" t="s">
        <v>24</v>
      </c>
      <c r="C10" s="5" t="s">
        <v>100</v>
      </c>
      <c r="D10" s="7" t="s">
        <v>26</v>
      </c>
      <c r="E10" s="5" t="s">
        <v>80</v>
      </c>
      <c r="F10" s="5" t="s">
        <v>81</v>
      </c>
      <c r="G10" s="5" t="s">
        <v>29</v>
      </c>
      <c r="H10" s="5" t="s">
        <v>30</v>
      </c>
      <c r="I10" s="5" t="s">
        <v>101</v>
      </c>
      <c r="J10" s="5" t="s">
        <v>32</v>
      </c>
      <c r="K10" s="5" t="s">
        <v>32</v>
      </c>
      <c r="L10" s="5" t="s">
        <v>32</v>
      </c>
      <c r="M10" s="5" t="s">
        <v>102</v>
      </c>
      <c r="N10" s="5" t="s">
        <v>32</v>
      </c>
      <c r="O10" s="5" t="s">
        <v>32</v>
      </c>
      <c r="P10" s="5" t="s">
        <v>103</v>
      </c>
      <c r="Q10" s="5" t="s">
        <v>86</v>
      </c>
      <c r="R10" s="5" t="s">
        <v>35</v>
      </c>
      <c r="S10" s="5" t="s">
        <v>32</v>
      </c>
      <c r="T10" s="5" t="s">
        <v>32</v>
      </c>
      <c r="U10" s="5" t="s">
        <v>32</v>
      </c>
      <c r="V10" s="8">
        <v>900000</v>
      </c>
      <c r="W10" s="5" t="s">
        <v>102</v>
      </c>
      <c r="X10" s="5" t="s">
        <v>104</v>
      </c>
    </row>
    <row r="11" spans="1:24" s="4" customFormat="1" x14ac:dyDescent="0.25">
      <c r="A11" s="5">
        <v>10</v>
      </c>
      <c r="B11" s="6" t="s">
        <v>24</v>
      </c>
      <c r="C11" s="5" t="s">
        <v>105</v>
      </c>
      <c r="D11" s="7" t="s">
        <v>26</v>
      </c>
      <c r="E11" s="5" t="s">
        <v>80</v>
      </c>
      <c r="F11" s="5" t="s">
        <v>81</v>
      </c>
      <c r="G11" s="5" t="s">
        <v>106</v>
      </c>
      <c r="H11" s="5" t="s">
        <v>107</v>
      </c>
      <c r="I11" s="5" t="s">
        <v>108</v>
      </c>
      <c r="J11" s="5" t="s">
        <v>32</v>
      </c>
      <c r="K11" s="5" t="s">
        <v>32</v>
      </c>
      <c r="L11" s="5" t="s">
        <v>32</v>
      </c>
      <c r="M11" s="5" t="s">
        <v>109</v>
      </c>
      <c r="N11" s="5" t="s">
        <v>32</v>
      </c>
      <c r="O11" s="5" t="s">
        <v>32</v>
      </c>
      <c r="P11" s="5" t="s">
        <v>110</v>
      </c>
      <c r="Q11" s="5" t="s">
        <v>86</v>
      </c>
      <c r="R11" s="5" t="s">
        <v>35</v>
      </c>
      <c r="S11" s="5" t="s">
        <v>32</v>
      </c>
      <c r="T11" s="5" t="s">
        <v>32</v>
      </c>
      <c r="U11" s="5" t="s">
        <v>32</v>
      </c>
      <c r="V11" s="8">
        <v>400000</v>
      </c>
      <c r="W11" s="5" t="s">
        <v>111</v>
      </c>
      <c r="X11" s="5" t="s">
        <v>112</v>
      </c>
    </row>
    <row r="12" spans="1:24" s="4" customFormat="1" x14ac:dyDescent="0.25">
      <c r="A12" s="5">
        <v>11</v>
      </c>
      <c r="B12" s="6" t="s">
        <v>24</v>
      </c>
      <c r="C12" s="5" t="s">
        <v>113</v>
      </c>
      <c r="D12" s="7" t="s">
        <v>26</v>
      </c>
      <c r="E12" s="5" t="s">
        <v>80</v>
      </c>
      <c r="F12" s="5" t="s">
        <v>81</v>
      </c>
      <c r="G12" s="5" t="s">
        <v>106</v>
      </c>
      <c r="H12" s="5" t="s">
        <v>30</v>
      </c>
      <c r="I12" s="5" t="s">
        <v>114</v>
      </c>
      <c r="J12" s="5" t="s">
        <v>32</v>
      </c>
      <c r="K12" s="5" t="s">
        <v>32</v>
      </c>
      <c r="L12" s="5" t="s">
        <v>32</v>
      </c>
      <c r="M12" s="5" t="s">
        <v>115</v>
      </c>
      <c r="N12" s="5" t="s">
        <v>32</v>
      </c>
      <c r="O12" s="5" t="s">
        <v>32</v>
      </c>
      <c r="P12" s="5" t="s">
        <v>110</v>
      </c>
      <c r="Q12" s="5" t="s">
        <v>86</v>
      </c>
      <c r="R12" s="5" t="s">
        <v>35</v>
      </c>
      <c r="S12" s="5" t="s">
        <v>32</v>
      </c>
      <c r="T12" s="5" t="s">
        <v>32</v>
      </c>
      <c r="U12" s="5" t="s">
        <v>32</v>
      </c>
      <c r="V12" s="8">
        <v>500000</v>
      </c>
      <c r="W12" s="5" t="s">
        <v>116</v>
      </c>
      <c r="X12" s="5" t="s">
        <v>117</v>
      </c>
    </row>
    <row r="13" spans="1:24" s="4" customFormat="1" x14ac:dyDescent="0.25">
      <c r="A13" s="5">
        <v>12</v>
      </c>
      <c r="B13" s="6" t="s">
        <v>24</v>
      </c>
      <c r="C13" s="5" t="s">
        <v>118</v>
      </c>
      <c r="D13" s="7" t="s">
        <v>26</v>
      </c>
      <c r="E13" s="5" t="s">
        <v>80</v>
      </c>
      <c r="F13" s="5" t="s">
        <v>81</v>
      </c>
      <c r="G13" s="5" t="s">
        <v>29</v>
      </c>
      <c r="H13" s="5" t="s">
        <v>119</v>
      </c>
      <c r="I13" s="5" t="s">
        <v>120</v>
      </c>
      <c r="J13" s="5" t="s">
        <v>32</v>
      </c>
      <c r="K13" s="5" t="s">
        <v>32</v>
      </c>
      <c r="L13" s="5" t="s">
        <v>32</v>
      </c>
      <c r="M13" s="5" t="s">
        <v>121</v>
      </c>
      <c r="N13" s="5" t="s">
        <v>32</v>
      </c>
      <c r="O13" s="5" t="s">
        <v>32</v>
      </c>
      <c r="P13" s="5" t="s">
        <v>122</v>
      </c>
      <c r="Q13" s="5" t="s">
        <v>86</v>
      </c>
      <c r="R13" s="5" t="s">
        <v>35</v>
      </c>
      <c r="S13" s="5" t="s">
        <v>32</v>
      </c>
      <c r="T13" s="5" t="s">
        <v>32</v>
      </c>
      <c r="U13" s="5" t="s">
        <v>32</v>
      </c>
      <c r="V13" s="8">
        <v>600000</v>
      </c>
      <c r="W13" s="5" t="s">
        <v>36</v>
      </c>
      <c r="X13" s="5" t="s">
        <v>123</v>
      </c>
    </row>
    <row r="14" spans="1:24" s="4" customFormat="1" x14ac:dyDescent="0.25">
      <c r="A14" s="5">
        <v>13</v>
      </c>
      <c r="B14" s="6" t="s">
        <v>24</v>
      </c>
      <c r="C14" s="5" t="s">
        <v>124</v>
      </c>
      <c r="D14" s="7" t="s">
        <v>26</v>
      </c>
      <c r="E14" s="5" t="s">
        <v>80</v>
      </c>
      <c r="F14" s="5" t="s">
        <v>81</v>
      </c>
      <c r="G14" s="5" t="s">
        <v>29</v>
      </c>
      <c r="H14" s="5" t="s">
        <v>125</v>
      </c>
      <c r="I14" s="5" t="s">
        <v>126</v>
      </c>
      <c r="J14" s="5" t="s">
        <v>32</v>
      </c>
      <c r="K14" s="5" t="s">
        <v>32</v>
      </c>
      <c r="L14" s="5" t="s">
        <v>32</v>
      </c>
      <c r="M14" s="5" t="s">
        <v>127</v>
      </c>
      <c r="N14" s="5" t="s">
        <v>32</v>
      </c>
      <c r="O14" s="5" t="s">
        <v>32</v>
      </c>
      <c r="P14" s="5" t="s">
        <v>122</v>
      </c>
      <c r="Q14" s="5" t="s">
        <v>86</v>
      </c>
      <c r="R14" s="5" t="s">
        <v>35</v>
      </c>
      <c r="S14" s="5" t="s">
        <v>32</v>
      </c>
      <c r="T14" s="5" t="s">
        <v>32</v>
      </c>
      <c r="U14" s="5" t="s">
        <v>32</v>
      </c>
      <c r="V14" s="8">
        <v>700000</v>
      </c>
      <c r="W14" s="5" t="s">
        <v>36</v>
      </c>
      <c r="X14" s="5" t="s">
        <v>128</v>
      </c>
    </row>
    <row r="15" spans="1:24" s="4" customFormat="1" x14ac:dyDescent="0.25">
      <c r="A15" s="5">
        <v>14</v>
      </c>
      <c r="B15" s="6" t="s">
        <v>24</v>
      </c>
      <c r="C15" s="5" t="s">
        <v>129</v>
      </c>
      <c r="D15" s="7" t="s">
        <v>26</v>
      </c>
      <c r="E15" s="5" t="s">
        <v>80</v>
      </c>
      <c r="F15" s="5" t="s">
        <v>81</v>
      </c>
      <c r="G15" s="5" t="s">
        <v>29</v>
      </c>
      <c r="H15" s="5" t="s">
        <v>125</v>
      </c>
      <c r="I15" s="5" t="s">
        <v>130</v>
      </c>
      <c r="J15" s="5" t="s">
        <v>32</v>
      </c>
      <c r="K15" s="5" t="s">
        <v>32</v>
      </c>
      <c r="L15" s="5" t="s">
        <v>32</v>
      </c>
      <c r="M15" s="5" t="s">
        <v>131</v>
      </c>
      <c r="N15" s="5" t="s">
        <v>32</v>
      </c>
      <c r="O15" s="5" t="s">
        <v>32</v>
      </c>
      <c r="P15" s="5" t="s">
        <v>122</v>
      </c>
      <c r="Q15" s="5" t="s">
        <v>86</v>
      </c>
      <c r="R15" s="5" t="s">
        <v>35</v>
      </c>
      <c r="S15" s="5" t="s">
        <v>32</v>
      </c>
      <c r="T15" s="5" t="s">
        <v>32</v>
      </c>
      <c r="U15" s="5" t="s">
        <v>32</v>
      </c>
      <c r="V15" s="8">
        <v>700000</v>
      </c>
      <c r="W15" s="5" t="s">
        <v>36</v>
      </c>
      <c r="X15" s="5" t="s">
        <v>132</v>
      </c>
    </row>
    <row r="16" spans="1:24" s="4" customFormat="1" x14ac:dyDescent="0.25">
      <c r="A16" s="5">
        <v>15</v>
      </c>
      <c r="B16" s="6" t="s">
        <v>24</v>
      </c>
      <c r="C16" s="5" t="s">
        <v>133</v>
      </c>
      <c r="D16" s="7" t="s">
        <v>26</v>
      </c>
      <c r="E16" s="5" t="s">
        <v>80</v>
      </c>
      <c r="F16" s="5" t="s">
        <v>81</v>
      </c>
      <c r="G16" s="5" t="s">
        <v>41</v>
      </c>
      <c r="H16" s="5" t="s">
        <v>30</v>
      </c>
      <c r="I16" s="5" t="s">
        <v>134</v>
      </c>
      <c r="J16" s="5" t="s">
        <v>32</v>
      </c>
      <c r="K16" s="5" t="s">
        <v>32</v>
      </c>
      <c r="L16" s="5" t="s">
        <v>32</v>
      </c>
      <c r="M16" s="5" t="s">
        <v>135</v>
      </c>
      <c r="N16" s="5" t="s">
        <v>32</v>
      </c>
      <c r="O16" s="5" t="s">
        <v>32</v>
      </c>
      <c r="P16" s="5" t="s">
        <v>136</v>
      </c>
      <c r="Q16" s="5" t="s">
        <v>86</v>
      </c>
      <c r="R16" s="5" t="s">
        <v>35</v>
      </c>
      <c r="S16" s="5" t="s">
        <v>32</v>
      </c>
      <c r="T16" s="5" t="s">
        <v>32</v>
      </c>
      <c r="U16" s="5" t="s">
        <v>32</v>
      </c>
      <c r="V16" s="8">
        <v>250000</v>
      </c>
      <c r="W16" s="5" t="s">
        <v>137</v>
      </c>
      <c r="X16" s="5" t="s">
        <v>138</v>
      </c>
    </row>
    <row r="17" spans="1:24" s="4" customFormat="1" x14ac:dyDescent="0.25">
      <c r="A17" s="5">
        <v>16</v>
      </c>
      <c r="B17" s="6" t="s">
        <v>24</v>
      </c>
      <c r="C17" s="5" t="s">
        <v>139</v>
      </c>
      <c r="D17" s="7" t="s">
        <v>26</v>
      </c>
      <c r="E17" s="5" t="s">
        <v>80</v>
      </c>
      <c r="F17" s="5" t="s">
        <v>81</v>
      </c>
      <c r="G17" s="5" t="s">
        <v>91</v>
      </c>
      <c r="H17" s="5" t="s">
        <v>140</v>
      </c>
      <c r="I17" s="5" t="s">
        <v>141</v>
      </c>
      <c r="J17" s="5" t="s">
        <v>32</v>
      </c>
      <c r="K17" s="5" t="s">
        <v>32</v>
      </c>
      <c r="L17" s="5" t="s">
        <v>32</v>
      </c>
      <c r="M17" s="5" t="s">
        <v>142</v>
      </c>
      <c r="N17" s="5" t="s">
        <v>32</v>
      </c>
      <c r="O17" s="5" t="s">
        <v>32</v>
      </c>
      <c r="P17" s="5" t="s">
        <v>143</v>
      </c>
      <c r="Q17" s="5" t="s">
        <v>86</v>
      </c>
      <c r="R17" s="5" t="s">
        <v>35</v>
      </c>
      <c r="S17" s="5" t="s">
        <v>32</v>
      </c>
      <c r="T17" s="5" t="s">
        <v>32</v>
      </c>
      <c r="U17" s="5" t="s">
        <v>32</v>
      </c>
      <c r="V17" s="8">
        <v>300000</v>
      </c>
      <c r="W17" s="5" t="s">
        <v>36</v>
      </c>
      <c r="X17" s="5" t="s">
        <v>144</v>
      </c>
    </row>
    <row r="18" spans="1:24" s="4" customFormat="1" x14ac:dyDescent="0.25">
      <c r="A18" s="5">
        <v>17</v>
      </c>
      <c r="B18" s="6" t="s">
        <v>24</v>
      </c>
      <c r="C18" s="5" t="s">
        <v>145</v>
      </c>
      <c r="D18" s="7" t="s">
        <v>26</v>
      </c>
      <c r="E18" s="5" t="s">
        <v>146</v>
      </c>
      <c r="F18" s="5" t="s">
        <v>81</v>
      </c>
      <c r="G18" s="5" t="s">
        <v>29</v>
      </c>
      <c r="H18" s="5" t="s">
        <v>140</v>
      </c>
      <c r="I18" s="5" t="s">
        <v>147</v>
      </c>
      <c r="J18" s="5" t="s">
        <v>32</v>
      </c>
      <c r="K18" s="5" t="s">
        <v>32</v>
      </c>
      <c r="L18" s="5" t="s">
        <v>32</v>
      </c>
      <c r="M18" s="5" t="s">
        <v>148</v>
      </c>
      <c r="N18" s="5" t="s">
        <v>32</v>
      </c>
      <c r="O18" s="5" t="s">
        <v>32</v>
      </c>
      <c r="P18" s="5" t="s">
        <v>149</v>
      </c>
      <c r="Q18" s="5" t="s">
        <v>86</v>
      </c>
      <c r="R18" s="5" t="s">
        <v>35</v>
      </c>
      <c r="S18" s="5" t="s">
        <v>32</v>
      </c>
      <c r="T18" s="5" t="s">
        <v>32</v>
      </c>
      <c r="U18" s="5" t="s">
        <v>32</v>
      </c>
      <c r="V18" s="8">
        <v>300000</v>
      </c>
      <c r="W18" s="5" t="s">
        <v>148</v>
      </c>
      <c r="X18" s="5" t="s">
        <v>150</v>
      </c>
    </row>
    <row r="19" spans="1:24" s="4" customFormat="1" x14ac:dyDescent="0.25">
      <c r="A19" s="5">
        <v>18</v>
      </c>
      <c r="B19" s="6" t="s">
        <v>24</v>
      </c>
      <c r="C19" s="5" t="s">
        <v>151</v>
      </c>
      <c r="D19" s="7" t="s">
        <v>26</v>
      </c>
      <c r="E19" s="5" t="s">
        <v>80</v>
      </c>
      <c r="F19" s="5" t="s">
        <v>81</v>
      </c>
      <c r="G19" s="5" t="s">
        <v>106</v>
      </c>
      <c r="H19" s="5" t="s">
        <v>30</v>
      </c>
      <c r="I19" s="5" t="s">
        <v>152</v>
      </c>
      <c r="J19" s="5" t="s">
        <v>32</v>
      </c>
      <c r="K19" s="5" t="s">
        <v>32</v>
      </c>
      <c r="L19" s="5" t="s">
        <v>32</v>
      </c>
      <c r="M19" s="5" t="s">
        <v>153</v>
      </c>
      <c r="N19" s="5" t="s">
        <v>32</v>
      </c>
      <c r="O19" s="5" t="s">
        <v>32</v>
      </c>
      <c r="P19" s="5" t="s">
        <v>122</v>
      </c>
      <c r="Q19" s="5" t="s">
        <v>86</v>
      </c>
      <c r="R19" s="5" t="s">
        <v>35</v>
      </c>
      <c r="S19" s="5" t="s">
        <v>32</v>
      </c>
      <c r="T19" s="5" t="s">
        <v>32</v>
      </c>
      <c r="U19" s="5" t="s">
        <v>32</v>
      </c>
      <c r="V19" s="8">
        <v>400000</v>
      </c>
      <c r="W19" s="5" t="s">
        <v>154</v>
      </c>
      <c r="X19" s="5" t="s">
        <v>155</v>
      </c>
    </row>
    <row r="20" spans="1:24" s="4" customFormat="1" x14ac:dyDescent="0.25">
      <c r="A20" s="5">
        <v>19</v>
      </c>
      <c r="B20" s="6" t="s">
        <v>24</v>
      </c>
      <c r="C20" s="5" t="s">
        <v>156</v>
      </c>
      <c r="D20" s="7" t="s">
        <v>26</v>
      </c>
      <c r="E20" s="5" t="s">
        <v>157</v>
      </c>
      <c r="F20" s="5" t="s">
        <v>158</v>
      </c>
      <c r="G20" s="5" t="s">
        <v>49</v>
      </c>
      <c r="H20" s="5" t="s">
        <v>30</v>
      </c>
      <c r="I20" s="5" t="s">
        <v>159</v>
      </c>
      <c r="J20" s="5" t="s">
        <v>32</v>
      </c>
      <c r="K20" s="5" t="s">
        <v>32</v>
      </c>
      <c r="L20" s="5" t="s">
        <v>32</v>
      </c>
      <c r="M20" s="5" t="s">
        <v>160</v>
      </c>
      <c r="N20" s="5" t="s">
        <v>32</v>
      </c>
      <c r="O20" s="5" t="s">
        <v>32</v>
      </c>
      <c r="P20" s="5" t="s">
        <v>161</v>
      </c>
      <c r="Q20" s="5" t="s">
        <v>162</v>
      </c>
      <c r="R20" s="5" t="s">
        <v>35</v>
      </c>
      <c r="S20" s="5" t="s">
        <v>32</v>
      </c>
      <c r="T20" s="5" t="s">
        <v>32</v>
      </c>
      <c r="U20" s="5" t="s">
        <v>32</v>
      </c>
      <c r="V20" s="8">
        <v>60000</v>
      </c>
      <c r="W20" s="5" t="s">
        <v>163</v>
      </c>
      <c r="X20" s="5" t="s">
        <v>164</v>
      </c>
    </row>
    <row r="21" spans="1:24" s="4" customFormat="1" x14ac:dyDescent="0.25">
      <c r="A21" s="5">
        <v>20</v>
      </c>
      <c r="B21" s="6" t="s">
        <v>24</v>
      </c>
      <c r="C21" s="5" t="s">
        <v>165</v>
      </c>
      <c r="D21" s="7" t="s">
        <v>26</v>
      </c>
      <c r="E21" s="5" t="s">
        <v>48</v>
      </c>
      <c r="F21" s="5" t="s">
        <v>158</v>
      </c>
      <c r="G21" s="5" t="s">
        <v>166</v>
      </c>
      <c r="H21" s="5" t="s">
        <v>30</v>
      </c>
      <c r="I21" s="5" t="s">
        <v>167</v>
      </c>
      <c r="J21" s="5" t="s">
        <v>168</v>
      </c>
      <c r="K21" s="5" t="s">
        <v>32</v>
      </c>
      <c r="L21" s="5" t="s">
        <v>32</v>
      </c>
      <c r="M21" s="5" t="s">
        <v>32</v>
      </c>
      <c r="N21" s="5" t="s">
        <v>32</v>
      </c>
      <c r="O21" s="5" t="s">
        <v>32</v>
      </c>
      <c r="P21" s="5" t="s">
        <v>169</v>
      </c>
      <c r="Q21" s="5" t="s">
        <v>162</v>
      </c>
      <c r="R21" s="5" t="s">
        <v>35</v>
      </c>
      <c r="S21" s="5" t="s">
        <v>32</v>
      </c>
      <c r="T21" s="5" t="s">
        <v>32</v>
      </c>
      <c r="U21" s="5" t="s">
        <v>32</v>
      </c>
      <c r="V21" s="8">
        <v>60000</v>
      </c>
      <c r="W21" s="5" t="s">
        <v>170</v>
      </c>
      <c r="X21" s="5" t="s">
        <v>171</v>
      </c>
    </row>
    <row r="22" spans="1:24" s="4" customFormat="1" x14ac:dyDescent="0.25">
      <c r="A22" s="5">
        <v>21</v>
      </c>
      <c r="B22" s="6" t="s">
        <v>24</v>
      </c>
      <c r="C22" s="5" t="s">
        <v>172</v>
      </c>
      <c r="D22" s="7" t="s">
        <v>26</v>
      </c>
      <c r="E22" s="5" t="s">
        <v>173</v>
      </c>
      <c r="F22" s="5" t="s">
        <v>158</v>
      </c>
      <c r="G22" s="5" t="s">
        <v>41</v>
      </c>
      <c r="H22" s="5" t="s">
        <v>30</v>
      </c>
      <c r="I22" s="5" t="s">
        <v>159</v>
      </c>
      <c r="J22" s="5" t="s">
        <v>32</v>
      </c>
      <c r="K22" s="5" t="s">
        <v>32</v>
      </c>
      <c r="L22" s="5" t="s">
        <v>32</v>
      </c>
      <c r="M22" s="5" t="s">
        <v>32</v>
      </c>
      <c r="N22" s="5" t="s">
        <v>174</v>
      </c>
      <c r="O22" s="5" t="s">
        <v>32</v>
      </c>
      <c r="P22" s="5" t="s">
        <v>175</v>
      </c>
      <c r="Q22" s="5" t="s">
        <v>162</v>
      </c>
      <c r="R22" s="5" t="s">
        <v>35</v>
      </c>
      <c r="S22" s="5" t="s">
        <v>32</v>
      </c>
      <c r="T22" s="5" t="s">
        <v>32</v>
      </c>
      <c r="U22" s="5" t="s">
        <v>32</v>
      </c>
      <c r="V22" s="8">
        <v>60000</v>
      </c>
      <c r="W22" s="5" t="s">
        <v>176</v>
      </c>
      <c r="X22" s="5" t="s">
        <v>177</v>
      </c>
    </row>
    <row r="23" spans="1:24" s="4" customFormat="1" x14ac:dyDescent="0.25">
      <c r="A23" s="5">
        <v>22</v>
      </c>
      <c r="B23" s="6" t="s">
        <v>24</v>
      </c>
      <c r="C23" s="5" t="s">
        <v>178</v>
      </c>
      <c r="D23" s="7" t="s">
        <v>26</v>
      </c>
      <c r="E23" s="5" t="s">
        <v>173</v>
      </c>
      <c r="F23" s="5" t="s">
        <v>158</v>
      </c>
      <c r="G23" s="5" t="s">
        <v>179</v>
      </c>
      <c r="H23" s="5" t="s">
        <v>30</v>
      </c>
      <c r="I23" s="5" t="s">
        <v>180</v>
      </c>
      <c r="J23" s="5" t="s">
        <v>32</v>
      </c>
      <c r="K23" s="5" t="s">
        <v>32</v>
      </c>
      <c r="L23" s="5" t="s">
        <v>32</v>
      </c>
      <c r="M23" s="5" t="s">
        <v>32</v>
      </c>
      <c r="N23" s="5" t="s">
        <v>181</v>
      </c>
      <c r="O23" s="5" t="s">
        <v>32</v>
      </c>
      <c r="P23" s="5" t="s">
        <v>175</v>
      </c>
      <c r="Q23" s="5" t="s">
        <v>162</v>
      </c>
      <c r="R23" s="5" t="s">
        <v>35</v>
      </c>
      <c r="S23" s="5" t="s">
        <v>32</v>
      </c>
      <c r="T23" s="5" t="s">
        <v>32</v>
      </c>
      <c r="U23" s="5" t="s">
        <v>32</v>
      </c>
      <c r="V23" s="8">
        <v>60000</v>
      </c>
      <c r="W23" s="5" t="s">
        <v>182</v>
      </c>
      <c r="X23" s="5" t="s">
        <v>183</v>
      </c>
    </row>
    <row r="24" spans="1:24" s="4" customFormat="1" x14ac:dyDescent="0.25">
      <c r="A24" s="5">
        <v>23</v>
      </c>
      <c r="B24" s="6" t="s">
        <v>24</v>
      </c>
      <c r="C24" s="5" t="s">
        <v>184</v>
      </c>
      <c r="D24" s="7" t="s">
        <v>26</v>
      </c>
      <c r="E24" s="5" t="s">
        <v>173</v>
      </c>
      <c r="F24" s="5" t="s">
        <v>158</v>
      </c>
      <c r="G24" s="5" t="s">
        <v>185</v>
      </c>
      <c r="H24" s="5" t="s">
        <v>30</v>
      </c>
      <c r="I24" s="5" t="s">
        <v>186</v>
      </c>
      <c r="J24" s="5" t="s">
        <v>32</v>
      </c>
      <c r="K24" s="5" t="s">
        <v>32</v>
      </c>
      <c r="L24" s="5" t="s">
        <v>32</v>
      </c>
      <c r="M24" s="5" t="s">
        <v>32</v>
      </c>
      <c r="N24" s="5" t="s">
        <v>187</v>
      </c>
      <c r="O24" s="5" t="s">
        <v>32</v>
      </c>
      <c r="P24" s="5" t="s">
        <v>175</v>
      </c>
      <c r="Q24" s="5" t="s">
        <v>162</v>
      </c>
      <c r="R24" s="5" t="s">
        <v>35</v>
      </c>
      <c r="S24" s="5" t="s">
        <v>32</v>
      </c>
      <c r="T24" s="5" t="s">
        <v>32</v>
      </c>
      <c r="U24" s="5" t="s">
        <v>32</v>
      </c>
      <c r="V24" s="8">
        <v>35000</v>
      </c>
      <c r="W24" s="5" t="s">
        <v>188</v>
      </c>
      <c r="X24" s="5" t="s">
        <v>189</v>
      </c>
    </row>
    <row r="25" spans="1:24" s="4" customFormat="1" x14ac:dyDescent="0.25">
      <c r="A25" s="5">
        <v>24</v>
      </c>
      <c r="B25" s="6" t="s">
        <v>24</v>
      </c>
      <c r="C25" s="5" t="s">
        <v>190</v>
      </c>
      <c r="D25" s="7" t="s">
        <v>26</v>
      </c>
      <c r="E25" s="5" t="s">
        <v>39</v>
      </c>
      <c r="F25" s="5" t="s">
        <v>191</v>
      </c>
      <c r="G25" s="5" t="s">
        <v>41</v>
      </c>
      <c r="H25" s="5" t="s">
        <v>140</v>
      </c>
      <c r="I25" s="5" t="s">
        <v>192</v>
      </c>
      <c r="J25" s="5" t="s">
        <v>32</v>
      </c>
      <c r="K25" s="5" t="s">
        <v>193</v>
      </c>
      <c r="L25" s="5" t="s">
        <v>194</v>
      </c>
      <c r="M25" s="5" t="s">
        <v>195</v>
      </c>
      <c r="N25" s="5" t="s">
        <v>196</v>
      </c>
      <c r="O25" s="5" t="s">
        <v>197</v>
      </c>
      <c r="P25" s="5" t="s">
        <v>198</v>
      </c>
      <c r="Q25" s="5" t="s">
        <v>76</v>
      </c>
      <c r="R25" s="5" t="s">
        <v>35</v>
      </c>
      <c r="S25" s="5" t="s">
        <v>32</v>
      </c>
      <c r="T25" s="5" t="s">
        <v>32</v>
      </c>
      <c r="U25" s="5" t="s">
        <v>32</v>
      </c>
      <c r="V25" s="8">
        <v>250000</v>
      </c>
      <c r="W25" s="5" t="s">
        <v>199</v>
      </c>
      <c r="X25" s="5" t="s">
        <v>200</v>
      </c>
    </row>
    <row r="26" spans="1:24" s="4" customFormat="1" x14ac:dyDescent="0.25">
      <c r="A26" s="5">
        <v>25</v>
      </c>
      <c r="B26" s="6" t="s">
        <v>24</v>
      </c>
      <c r="C26" s="5" t="s">
        <v>201</v>
      </c>
      <c r="D26" s="7" t="s">
        <v>26</v>
      </c>
      <c r="E26" s="5" t="s">
        <v>39</v>
      </c>
      <c r="F26" s="5" t="s">
        <v>191</v>
      </c>
      <c r="G26" s="5" t="s">
        <v>29</v>
      </c>
      <c r="H26" s="5" t="s">
        <v>30</v>
      </c>
      <c r="I26" s="5" t="s">
        <v>202</v>
      </c>
      <c r="J26" s="5" t="s">
        <v>32</v>
      </c>
      <c r="K26" s="5" t="s">
        <v>32</v>
      </c>
      <c r="L26" s="5" t="s">
        <v>32</v>
      </c>
      <c r="M26" s="5" t="s">
        <v>203</v>
      </c>
      <c r="N26" s="5" t="s">
        <v>32</v>
      </c>
      <c r="O26" s="5" t="s">
        <v>32</v>
      </c>
      <c r="P26" s="5" t="s">
        <v>204</v>
      </c>
      <c r="Q26" s="5" t="s">
        <v>76</v>
      </c>
      <c r="R26" s="5" t="s">
        <v>35</v>
      </c>
      <c r="S26" s="5" t="s">
        <v>32</v>
      </c>
      <c r="T26" s="5" t="s">
        <v>32</v>
      </c>
      <c r="U26" s="5" t="s">
        <v>32</v>
      </c>
      <c r="V26" s="8">
        <v>250000</v>
      </c>
      <c r="W26" s="5" t="s">
        <v>203</v>
      </c>
      <c r="X26" s="5" t="s">
        <v>205</v>
      </c>
    </row>
    <row r="27" spans="1:24" s="4" customFormat="1" x14ac:dyDescent="0.25">
      <c r="A27" s="5">
        <v>26</v>
      </c>
      <c r="B27" s="6" t="s">
        <v>24</v>
      </c>
      <c r="C27" s="5" t="s">
        <v>206</v>
      </c>
      <c r="D27" s="7" t="s">
        <v>26</v>
      </c>
      <c r="E27" s="5" t="s">
        <v>207</v>
      </c>
      <c r="F27" s="5" t="s">
        <v>191</v>
      </c>
      <c r="G27" s="5" t="s">
        <v>29</v>
      </c>
      <c r="H27" s="5" t="s">
        <v>140</v>
      </c>
      <c r="I27" s="5" t="s">
        <v>208</v>
      </c>
      <c r="J27" s="5" t="s">
        <v>32</v>
      </c>
      <c r="K27" s="5" t="s">
        <v>209</v>
      </c>
      <c r="L27" s="5" t="s">
        <v>32</v>
      </c>
      <c r="M27" s="5" t="s">
        <v>210</v>
      </c>
      <c r="N27" s="5" t="s">
        <v>211</v>
      </c>
      <c r="O27" s="5" t="s">
        <v>32</v>
      </c>
      <c r="P27" s="5" t="s">
        <v>198</v>
      </c>
      <c r="Q27" s="5" t="s">
        <v>76</v>
      </c>
      <c r="R27" s="5" t="s">
        <v>35</v>
      </c>
      <c r="S27" s="5" t="s">
        <v>32</v>
      </c>
      <c r="T27" s="5" t="s">
        <v>32</v>
      </c>
      <c r="U27" s="5" t="s">
        <v>32</v>
      </c>
      <c r="V27" s="8">
        <v>250000</v>
      </c>
      <c r="W27" s="5" t="s">
        <v>212</v>
      </c>
      <c r="X27" s="5" t="s">
        <v>213</v>
      </c>
    </row>
    <row r="28" spans="1:24" s="4" customFormat="1" x14ac:dyDescent="0.25">
      <c r="A28" s="5">
        <v>27</v>
      </c>
      <c r="B28" s="6" t="s">
        <v>24</v>
      </c>
      <c r="C28" s="5" t="s">
        <v>214</v>
      </c>
      <c r="D28" s="7" t="s">
        <v>26</v>
      </c>
      <c r="E28" s="5" t="s">
        <v>48</v>
      </c>
      <c r="F28" s="5" t="s">
        <v>215</v>
      </c>
      <c r="G28" s="5" t="s">
        <v>41</v>
      </c>
      <c r="H28" s="5" t="s">
        <v>30</v>
      </c>
      <c r="I28" s="5" t="s">
        <v>216</v>
      </c>
      <c r="J28" s="5" t="s">
        <v>32</v>
      </c>
      <c r="K28" s="5" t="s">
        <v>217</v>
      </c>
      <c r="L28" s="5" t="s">
        <v>32</v>
      </c>
      <c r="M28" s="5" t="s">
        <v>32</v>
      </c>
      <c r="N28" s="5" t="s">
        <v>32</v>
      </c>
      <c r="O28" s="5" t="s">
        <v>32</v>
      </c>
      <c r="P28" s="5" t="s">
        <v>218</v>
      </c>
      <c r="Q28" s="5" t="s">
        <v>219</v>
      </c>
      <c r="R28" s="5" t="s">
        <v>35</v>
      </c>
      <c r="S28" s="5" t="s">
        <v>32</v>
      </c>
      <c r="T28" s="5" t="s">
        <v>32</v>
      </c>
      <c r="U28" s="5" t="s">
        <v>32</v>
      </c>
      <c r="V28" s="8">
        <v>40000</v>
      </c>
      <c r="W28" s="5" t="s">
        <v>220</v>
      </c>
      <c r="X28" s="5" t="s">
        <v>221</v>
      </c>
    </row>
    <row r="29" spans="1:24" s="4" customFormat="1" x14ac:dyDescent="0.25">
      <c r="A29" s="5">
        <v>28</v>
      </c>
      <c r="B29" s="6" t="s">
        <v>24</v>
      </c>
      <c r="C29" s="5" t="s">
        <v>222</v>
      </c>
      <c r="D29" s="7" t="s">
        <v>26</v>
      </c>
      <c r="E29" s="5" t="s">
        <v>157</v>
      </c>
      <c r="F29" s="5" t="s">
        <v>215</v>
      </c>
      <c r="G29" s="5" t="s">
        <v>223</v>
      </c>
      <c r="H29" s="5" t="s">
        <v>30</v>
      </c>
      <c r="I29" s="5" t="s">
        <v>224</v>
      </c>
      <c r="J29" s="5" t="s">
        <v>32</v>
      </c>
      <c r="K29" s="5" t="s">
        <v>32</v>
      </c>
      <c r="L29" s="5" t="s">
        <v>32</v>
      </c>
      <c r="M29" s="5" t="s">
        <v>225</v>
      </c>
      <c r="N29" s="5" t="s">
        <v>226</v>
      </c>
      <c r="O29" s="5" t="s">
        <v>32</v>
      </c>
      <c r="P29" s="5" t="s">
        <v>227</v>
      </c>
      <c r="Q29" s="5" t="s">
        <v>219</v>
      </c>
      <c r="R29" s="5" t="s">
        <v>35</v>
      </c>
      <c r="S29" s="5" t="s">
        <v>32</v>
      </c>
      <c r="T29" s="5" t="s">
        <v>32</v>
      </c>
      <c r="U29" s="5" t="s">
        <v>32</v>
      </c>
      <c r="V29" s="8">
        <v>60000</v>
      </c>
      <c r="W29" s="5" t="s">
        <v>228</v>
      </c>
      <c r="X29" s="5" t="s">
        <v>229</v>
      </c>
    </row>
    <row r="30" spans="1:24" s="4" customFormat="1" x14ac:dyDescent="0.25">
      <c r="A30" s="5">
        <v>29</v>
      </c>
      <c r="B30" s="6" t="s">
        <v>24</v>
      </c>
      <c r="C30" s="5" t="s">
        <v>230</v>
      </c>
      <c r="D30" s="7" t="s">
        <v>26</v>
      </c>
      <c r="E30" s="5" t="s">
        <v>231</v>
      </c>
      <c r="F30" s="5" t="s">
        <v>215</v>
      </c>
      <c r="G30" s="5" t="s">
        <v>223</v>
      </c>
      <c r="H30" s="5" t="s">
        <v>30</v>
      </c>
      <c r="I30" s="5" t="s">
        <v>232</v>
      </c>
      <c r="J30" s="5" t="s">
        <v>32</v>
      </c>
      <c r="K30" s="5" t="s">
        <v>233</v>
      </c>
      <c r="L30" s="5" t="s">
        <v>234</v>
      </c>
      <c r="M30" s="5" t="s">
        <v>235</v>
      </c>
      <c r="N30" s="5" t="s">
        <v>236</v>
      </c>
      <c r="O30" s="5" t="s">
        <v>32</v>
      </c>
      <c r="P30" s="5" t="s">
        <v>198</v>
      </c>
      <c r="Q30" s="5" t="s">
        <v>219</v>
      </c>
      <c r="R30" s="5" t="s">
        <v>35</v>
      </c>
      <c r="S30" s="5" t="s">
        <v>32</v>
      </c>
      <c r="T30" s="5" t="s">
        <v>32</v>
      </c>
      <c r="U30" s="5" t="s">
        <v>32</v>
      </c>
      <c r="V30" s="8">
        <v>60000</v>
      </c>
      <c r="W30" s="5" t="s">
        <v>237</v>
      </c>
      <c r="X30" s="5" t="s">
        <v>238</v>
      </c>
    </row>
    <row r="31" spans="1:24" s="4" customFormat="1" x14ac:dyDescent="0.25">
      <c r="A31" s="5">
        <v>30</v>
      </c>
      <c r="B31" s="6" t="s">
        <v>24</v>
      </c>
      <c r="C31" s="5" t="s">
        <v>239</v>
      </c>
      <c r="D31" s="7" t="s">
        <v>26</v>
      </c>
      <c r="E31" s="5" t="s">
        <v>173</v>
      </c>
      <c r="F31" s="5" t="s">
        <v>215</v>
      </c>
      <c r="G31" s="5" t="s">
        <v>41</v>
      </c>
      <c r="H31" s="5" t="s">
        <v>30</v>
      </c>
      <c r="I31" s="5" t="s">
        <v>216</v>
      </c>
      <c r="J31" s="5" t="s">
        <v>32</v>
      </c>
      <c r="K31" s="5" t="s">
        <v>32</v>
      </c>
      <c r="L31" s="5" t="s">
        <v>32</v>
      </c>
      <c r="M31" s="5" t="s">
        <v>32</v>
      </c>
      <c r="N31" s="5" t="s">
        <v>240</v>
      </c>
      <c r="O31" s="5" t="s">
        <v>32</v>
      </c>
      <c r="P31" s="5" t="s">
        <v>227</v>
      </c>
      <c r="Q31" s="5" t="s">
        <v>219</v>
      </c>
      <c r="R31" s="5" t="s">
        <v>35</v>
      </c>
      <c r="S31" s="5" t="s">
        <v>32</v>
      </c>
      <c r="T31" s="5" t="s">
        <v>32</v>
      </c>
      <c r="U31" s="5" t="s">
        <v>32</v>
      </c>
      <c r="V31" s="8">
        <v>40000</v>
      </c>
      <c r="W31" s="5" t="s">
        <v>220</v>
      </c>
      <c r="X31" s="5" t="s">
        <v>241</v>
      </c>
    </row>
    <row r="32" spans="1:24" s="4" customFormat="1" x14ac:dyDescent="0.25">
      <c r="A32" s="5">
        <v>31</v>
      </c>
      <c r="B32" s="6" t="s">
        <v>24</v>
      </c>
      <c r="C32" s="5" t="s">
        <v>242</v>
      </c>
      <c r="D32" s="7" t="s">
        <v>26</v>
      </c>
      <c r="E32" s="5" t="s">
        <v>173</v>
      </c>
      <c r="F32" s="5" t="s">
        <v>215</v>
      </c>
      <c r="G32" s="5" t="s">
        <v>41</v>
      </c>
      <c r="H32" s="5" t="s">
        <v>30</v>
      </c>
      <c r="I32" s="5" t="s">
        <v>243</v>
      </c>
      <c r="J32" s="5" t="s">
        <v>32</v>
      </c>
      <c r="K32" s="5" t="s">
        <v>32</v>
      </c>
      <c r="L32" s="5" t="s">
        <v>32</v>
      </c>
      <c r="M32" s="5" t="s">
        <v>32</v>
      </c>
      <c r="N32" s="5" t="s">
        <v>244</v>
      </c>
      <c r="O32" s="5" t="s">
        <v>32</v>
      </c>
      <c r="P32" s="5" t="s">
        <v>227</v>
      </c>
      <c r="Q32" s="5" t="s">
        <v>219</v>
      </c>
      <c r="R32" s="5" t="s">
        <v>35</v>
      </c>
      <c r="S32" s="5" t="s">
        <v>32</v>
      </c>
      <c r="T32" s="5" t="s">
        <v>32</v>
      </c>
      <c r="U32" s="5" t="s">
        <v>32</v>
      </c>
      <c r="V32" s="8">
        <v>40000</v>
      </c>
      <c r="W32" s="5" t="s">
        <v>245</v>
      </c>
      <c r="X32" s="5" t="s">
        <v>246</v>
      </c>
    </row>
    <row r="33" spans="1:24" s="4" customFormat="1" x14ac:dyDescent="0.25">
      <c r="A33" s="5">
        <v>32</v>
      </c>
      <c r="B33" s="6" t="s">
        <v>24</v>
      </c>
      <c r="C33" s="5" t="s">
        <v>247</v>
      </c>
      <c r="D33" s="7" t="s">
        <v>26</v>
      </c>
      <c r="E33" s="5" t="s">
        <v>173</v>
      </c>
      <c r="F33" s="5" t="s">
        <v>215</v>
      </c>
      <c r="G33" s="5" t="s">
        <v>41</v>
      </c>
      <c r="H33" s="5" t="s">
        <v>30</v>
      </c>
      <c r="I33" s="5" t="s">
        <v>248</v>
      </c>
      <c r="J33" s="5" t="s">
        <v>32</v>
      </c>
      <c r="K33" s="5" t="s">
        <v>32</v>
      </c>
      <c r="L33" s="5" t="s">
        <v>32</v>
      </c>
      <c r="M33" s="5" t="s">
        <v>32</v>
      </c>
      <c r="N33" s="5" t="s">
        <v>249</v>
      </c>
      <c r="O33" s="5" t="s">
        <v>32</v>
      </c>
      <c r="P33" s="5" t="s">
        <v>227</v>
      </c>
      <c r="Q33" s="5" t="s">
        <v>219</v>
      </c>
      <c r="R33" s="5" t="s">
        <v>35</v>
      </c>
      <c r="S33" s="5" t="s">
        <v>32</v>
      </c>
      <c r="T33" s="5" t="s">
        <v>32</v>
      </c>
      <c r="U33" s="5" t="s">
        <v>32</v>
      </c>
      <c r="V33" s="8">
        <v>40000</v>
      </c>
      <c r="W33" s="5" t="s">
        <v>220</v>
      </c>
      <c r="X33" s="5" t="s">
        <v>250</v>
      </c>
    </row>
    <row r="34" spans="1:24" s="4" customFormat="1" x14ac:dyDescent="0.25">
      <c r="A34" s="5">
        <v>33</v>
      </c>
      <c r="B34" s="6" t="s">
        <v>24</v>
      </c>
      <c r="C34" s="5" t="s">
        <v>251</v>
      </c>
      <c r="D34" s="7" t="s">
        <v>26</v>
      </c>
      <c r="E34" s="5" t="s">
        <v>252</v>
      </c>
      <c r="F34" s="5" t="s">
        <v>253</v>
      </c>
      <c r="G34" s="5" t="s">
        <v>29</v>
      </c>
      <c r="H34" s="5" t="s">
        <v>30</v>
      </c>
      <c r="I34" s="5" t="s">
        <v>254</v>
      </c>
      <c r="J34" s="5" t="s">
        <v>32</v>
      </c>
      <c r="K34" s="5" t="s">
        <v>32</v>
      </c>
      <c r="L34" s="5" t="s">
        <v>32</v>
      </c>
      <c r="M34" s="5" t="s">
        <v>255</v>
      </c>
      <c r="N34" s="5" t="s">
        <v>32</v>
      </c>
      <c r="O34" s="5" t="s">
        <v>32</v>
      </c>
      <c r="P34" s="5" t="s">
        <v>256</v>
      </c>
      <c r="Q34" s="5" t="s">
        <v>65</v>
      </c>
      <c r="R34" s="5" t="s">
        <v>35</v>
      </c>
      <c r="S34" s="5" t="s">
        <v>32</v>
      </c>
      <c r="T34" s="5" t="s">
        <v>32</v>
      </c>
      <c r="U34" s="5" t="s">
        <v>32</v>
      </c>
      <c r="V34" s="8">
        <v>50000</v>
      </c>
      <c r="W34" s="5" t="s">
        <v>36</v>
      </c>
      <c r="X34" s="5" t="s">
        <v>257</v>
      </c>
    </row>
    <row r="35" spans="1:24" s="4" customFormat="1" x14ac:dyDescent="0.25">
      <c r="A35" s="5">
        <v>34</v>
      </c>
      <c r="B35" s="6" t="s">
        <v>24</v>
      </c>
      <c r="C35" s="5" t="s">
        <v>258</v>
      </c>
      <c r="D35" s="7" t="s">
        <v>26</v>
      </c>
      <c r="E35" s="5" t="s">
        <v>252</v>
      </c>
      <c r="F35" s="5" t="s">
        <v>253</v>
      </c>
      <c r="G35" s="5" t="s">
        <v>91</v>
      </c>
      <c r="H35" s="5" t="s">
        <v>30</v>
      </c>
      <c r="I35" s="5" t="s">
        <v>259</v>
      </c>
      <c r="J35" s="5" t="s">
        <v>32</v>
      </c>
      <c r="K35" s="5" t="s">
        <v>32</v>
      </c>
      <c r="L35" s="5" t="s">
        <v>32</v>
      </c>
      <c r="M35" s="5" t="s">
        <v>260</v>
      </c>
      <c r="N35" s="5" t="s">
        <v>32</v>
      </c>
      <c r="O35" s="5" t="s">
        <v>32</v>
      </c>
      <c r="P35" s="5" t="s">
        <v>261</v>
      </c>
      <c r="Q35" s="5" t="s">
        <v>65</v>
      </c>
      <c r="R35" s="5" t="s">
        <v>35</v>
      </c>
      <c r="S35" s="5" t="s">
        <v>32</v>
      </c>
      <c r="T35" s="5" t="s">
        <v>32</v>
      </c>
      <c r="U35" s="5" t="s">
        <v>32</v>
      </c>
      <c r="V35" s="8">
        <v>50000</v>
      </c>
      <c r="W35" s="5" t="s">
        <v>36</v>
      </c>
      <c r="X35" s="5" t="s">
        <v>262</v>
      </c>
    </row>
    <row r="36" spans="1:24" s="4" customFormat="1" x14ac:dyDescent="0.25">
      <c r="A36" s="5">
        <v>35</v>
      </c>
      <c r="B36" s="6" t="s">
        <v>24</v>
      </c>
      <c r="C36" s="5" t="s">
        <v>263</v>
      </c>
      <c r="D36" s="7" t="s">
        <v>26</v>
      </c>
      <c r="E36" s="5" t="s">
        <v>252</v>
      </c>
      <c r="F36" s="5" t="s">
        <v>253</v>
      </c>
      <c r="G36" s="5" t="s">
        <v>29</v>
      </c>
      <c r="H36" s="5" t="s">
        <v>30</v>
      </c>
      <c r="I36" s="5" t="s">
        <v>32</v>
      </c>
      <c r="J36" s="5" t="s">
        <v>32</v>
      </c>
      <c r="K36" s="5" t="s">
        <v>32</v>
      </c>
      <c r="L36" s="5" t="s">
        <v>32</v>
      </c>
      <c r="M36" s="5" t="s">
        <v>264</v>
      </c>
      <c r="N36" s="5" t="s">
        <v>32</v>
      </c>
      <c r="O36" s="5" t="s">
        <v>32</v>
      </c>
      <c r="P36" s="5" t="s">
        <v>256</v>
      </c>
      <c r="Q36" s="5" t="s">
        <v>65</v>
      </c>
      <c r="R36" s="5" t="s">
        <v>35</v>
      </c>
      <c r="S36" s="5" t="s">
        <v>32</v>
      </c>
      <c r="T36" s="5" t="s">
        <v>32</v>
      </c>
      <c r="U36" s="5" t="s">
        <v>32</v>
      </c>
      <c r="V36" s="8">
        <v>50000</v>
      </c>
      <c r="W36" s="5" t="s">
        <v>36</v>
      </c>
      <c r="X36" s="5" t="s">
        <v>32</v>
      </c>
    </row>
    <row r="37" spans="1:24" s="4" customFormat="1" x14ac:dyDescent="0.25">
      <c r="A37" s="5">
        <v>36</v>
      </c>
      <c r="B37" s="6" t="s">
        <v>24</v>
      </c>
      <c r="C37" s="5" t="s">
        <v>265</v>
      </c>
      <c r="D37" s="7" t="s">
        <v>26</v>
      </c>
      <c r="E37" s="5" t="s">
        <v>252</v>
      </c>
      <c r="F37" s="5" t="s">
        <v>253</v>
      </c>
      <c r="G37" s="5" t="s">
        <v>29</v>
      </c>
      <c r="H37" s="5" t="s">
        <v>30</v>
      </c>
      <c r="I37" s="5" t="s">
        <v>266</v>
      </c>
      <c r="J37" s="5" t="s">
        <v>32</v>
      </c>
      <c r="K37" s="5" t="s">
        <v>32</v>
      </c>
      <c r="L37" s="5" t="s">
        <v>32</v>
      </c>
      <c r="M37" s="5" t="s">
        <v>267</v>
      </c>
      <c r="N37" s="5" t="s">
        <v>32</v>
      </c>
      <c r="O37" s="5" t="s">
        <v>32</v>
      </c>
      <c r="P37" s="5" t="s">
        <v>268</v>
      </c>
      <c r="Q37" s="5" t="s">
        <v>65</v>
      </c>
      <c r="R37" s="5" t="s">
        <v>35</v>
      </c>
      <c r="S37" s="5" t="s">
        <v>32</v>
      </c>
      <c r="T37" s="5" t="s">
        <v>32</v>
      </c>
      <c r="U37" s="5" t="s">
        <v>32</v>
      </c>
      <c r="V37" s="8">
        <v>50000</v>
      </c>
      <c r="W37" s="5" t="s">
        <v>36</v>
      </c>
      <c r="X37" s="5" t="s">
        <v>269</v>
      </c>
    </row>
    <row r="38" spans="1:24" s="4" customFormat="1" x14ac:dyDescent="0.25">
      <c r="A38" s="5">
        <v>37</v>
      </c>
      <c r="B38" s="6" t="s">
        <v>24</v>
      </c>
      <c r="C38" s="5" t="s">
        <v>270</v>
      </c>
      <c r="D38" s="7" t="s">
        <v>26</v>
      </c>
      <c r="E38" s="5" t="s">
        <v>271</v>
      </c>
      <c r="F38" s="5" t="s">
        <v>272</v>
      </c>
      <c r="G38" s="5" t="s">
        <v>223</v>
      </c>
      <c r="H38" s="5" t="s">
        <v>273</v>
      </c>
      <c r="I38" s="5" t="s">
        <v>274</v>
      </c>
      <c r="J38" s="5" t="s">
        <v>32</v>
      </c>
      <c r="K38" s="5" t="s">
        <v>32</v>
      </c>
      <c r="L38" s="5" t="s">
        <v>32</v>
      </c>
      <c r="M38" s="5" t="s">
        <v>275</v>
      </c>
      <c r="N38" s="5" t="s">
        <v>32</v>
      </c>
      <c r="O38" s="5" t="s">
        <v>32</v>
      </c>
      <c r="P38" s="5" t="s">
        <v>276</v>
      </c>
      <c r="Q38" s="5" t="s">
        <v>162</v>
      </c>
      <c r="R38" s="5" t="s">
        <v>35</v>
      </c>
      <c r="S38" s="5" t="s">
        <v>32</v>
      </c>
      <c r="T38" s="5" t="s">
        <v>32</v>
      </c>
      <c r="U38" s="5" t="s">
        <v>32</v>
      </c>
      <c r="V38" s="8">
        <v>80000</v>
      </c>
      <c r="W38" s="5" t="s">
        <v>275</v>
      </c>
      <c r="X38" s="5" t="s">
        <v>277</v>
      </c>
    </row>
    <row r="39" spans="1:24" s="4" customFormat="1" x14ac:dyDescent="0.25">
      <c r="A39" s="5">
        <v>38</v>
      </c>
      <c r="B39" s="6" t="s">
        <v>24</v>
      </c>
      <c r="C39" s="5" t="s">
        <v>278</v>
      </c>
      <c r="D39" s="9" t="s">
        <v>279</v>
      </c>
      <c r="E39" s="5" t="s">
        <v>280</v>
      </c>
      <c r="F39" s="5" t="s">
        <v>158</v>
      </c>
      <c r="G39" s="5" t="s">
        <v>179</v>
      </c>
      <c r="H39" s="5" t="s">
        <v>30</v>
      </c>
      <c r="I39" s="5" t="s">
        <v>281</v>
      </c>
      <c r="J39" s="5" t="s">
        <v>32</v>
      </c>
      <c r="K39" s="5" t="s">
        <v>32</v>
      </c>
      <c r="L39" s="5" t="s">
        <v>32</v>
      </c>
      <c r="M39" s="5" t="s">
        <v>282</v>
      </c>
      <c r="N39" s="5" t="s">
        <v>283</v>
      </c>
      <c r="O39" s="5" t="s">
        <v>284</v>
      </c>
      <c r="P39" s="5" t="s">
        <v>285</v>
      </c>
      <c r="Q39" s="5" t="s">
        <v>286</v>
      </c>
      <c r="R39" s="5" t="s">
        <v>35</v>
      </c>
      <c r="S39" s="5" t="s">
        <v>32</v>
      </c>
      <c r="T39" s="5" t="s">
        <v>32</v>
      </c>
      <c r="U39" s="5" t="s">
        <v>32</v>
      </c>
      <c r="V39" s="8">
        <v>80000</v>
      </c>
      <c r="W39" s="5" t="s">
        <v>287</v>
      </c>
      <c r="X39" s="5" t="s">
        <v>288</v>
      </c>
    </row>
    <row r="40" spans="1:24" s="4" customFormat="1" x14ac:dyDescent="0.25">
      <c r="A40" s="5">
        <v>39</v>
      </c>
      <c r="B40" s="6" t="s">
        <v>24</v>
      </c>
      <c r="C40" s="5" t="s">
        <v>289</v>
      </c>
      <c r="D40" s="9" t="s">
        <v>279</v>
      </c>
      <c r="E40" s="5" t="s">
        <v>146</v>
      </c>
      <c r="F40" s="5" t="s">
        <v>272</v>
      </c>
      <c r="G40" s="5" t="s">
        <v>179</v>
      </c>
      <c r="H40" s="5" t="s">
        <v>30</v>
      </c>
      <c r="I40" s="5" t="s">
        <v>290</v>
      </c>
      <c r="J40" s="5" t="s">
        <v>32</v>
      </c>
      <c r="K40" s="5" t="s">
        <v>32</v>
      </c>
      <c r="L40" s="5" t="s">
        <v>32</v>
      </c>
      <c r="M40" s="5" t="s">
        <v>98</v>
      </c>
      <c r="N40" s="5" t="s">
        <v>283</v>
      </c>
      <c r="O40" s="5" t="s">
        <v>284</v>
      </c>
      <c r="P40" s="5" t="s">
        <v>291</v>
      </c>
      <c r="Q40" s="5" t="s">
        <v>162</v>
      </c>
      <c r="R40" s="5" t="s">
        <v>35</v>
      </c>
      <c r="S40" s="5" t="s">
        <v>32</v>
      </c>
      <c r="T40" s="5" t="s">
        <v>32</v>
      </c>
      <c r="U40" s="5" t="s">
        <v>32</v>
      </c>
      <c r="V40" s="8">
        <v>100000</v>
      </c>
      <c r="W40" s="5" t="s">
        <v>287</v>
      </c>
      <c r="X40" s="5" t="s">
        <v>292</v>
      </c>
    </row>
    <row r="41" spans="1:24" s="4" customFormat="1" x14ac:dyDescent="0.25">
      <c r="A41" s="5">
        <v>40</v>
      </c>
      <c r="B41" s="6" t="s">
        <v>24</v>
      </c>
      <c r="C41" s="5" t="s">
        <v>293</v>
      </c>
      <c r="D41" s="10" t="s">
        <v>294</v>
      </c>
      <c r="E41" s="5" t="s">
        <v>295</v>
      </c>
      <c r="F41" s="5" t="s">
        <v>28</v>
      </c>
      <c r="G41" s="5" t="s">
        <v>29</v>
      </c>
      <c r="H41" s="5" t="s">
        <v>56</v>
      </c>
      <c r="I41" s="5" t="s">
        <v>295</v>
      </c>
      <c r="J41" s="5" t="s">
        <v>32</v>
      </c>
      <c r="K41" s="5" t="s">
        <v>32</v>
      </c>
      <c r="L41" s="5" t="s">
        <v>32</v>
      </c>
      <c r="M41" s="5" t="s">
        <v>296</v>
      </c>
      <c r="N41" s="5" t="s">
        <v>32</v>
      </c>
      <c r="O41" s="5" t="s">
        <v>32</v>
      </c>
      <c r="P41" s="5" t="s">
        <v>297</v>
      </c>
      <c r="Q41" s="5" t="s">
        <v>36</v>
      </c>
      <c r="R41" s="5" t="s">
        <v>35</v>
      </c>
      <c r="S41" s="5" t="s">
        <v>32</v>
      </c>
      <c r="T41" s="5" t="s">
        <v>32</v>
      </c>
      <c r="U41" s="5" t="s">
        <v>32</v>
      </c>
      <c r="V41" s="8">
        <v>0</v>
      </c>
      <c r="W41" s="5" t="s">
        <v>296</v>
      </c>
      <c r="X41" s="5" t="s">
        <v>298</v>
      </c>
    </row>
    <row r="42" spans="1:24" s="4" customFormat="1" x14ac:dyDescent="0.25">
      <c r="A42" s="5">
        <v>41</v>
      </c>
      <c r="B42" s="11" t="s">
        <v>299</v>
      </c>
      <c r="C42" s="5" t="s">
        <v>300</v>
      </c>
      <c r="D42" s="7" t="s">
        <v>26</v>
      </c>
      <c r="E42" s="5" t="s">
        <v>27</v>
      </c>
      <c r="F42" s="5" t="s">
        <v>28</v>
      </c>
      <c r="G42" s="5" t="s">
        <v>29</v>
      </c>
      <c r="H42" s="5" t="s">
        <v>30</v>
      </c>
      <c r="I42" s="5" t="s">
        <v>301</v>
      </c>
      <c r="J42" s="5" t="s">
        <v>32</v>
      </c>
      <c r="K42" s="5" t="s">
        <v>32</v>
      </c>
      <c r="L42" s="5" t="s">
        <v>32</v>
      </c>
      <c r="M42" s="5" t="s">
        <v>32</v>
      </c>
      <c r="N42" s="5" t="s">
        <v>32</v>
      </c>
      <c r="O42" s="5" t="s">
        <v>32</v>
      </c>
      <c r="P42" s="5" t="s">
        <v>302</v>
      </c>
      <c r="Q42" s="5" t="s">
        <v>303</v>
      </c>
      <c r="R42" s="5" t="s">
        <v>35</v>
      </c>
      <c r="S42" s="5" t="s">
        <v>32</v>
      </c>
      <c r="T42" s="5" t="s">
        <v>32</v>
      </c>
      <c r="U42" s="5" t="s">
        <v>32</v>
      </c>
      <c r="V42" s="8">
        <v>300000</v>
      </c>
      <c r="W42" s="5" t="s">
        <v>36</v>
      </c>
      <c r="X42" s="5" t="s">
        <v>304</v>
      </c>
    </row>
    <row r="43" spans="1:24" s="4" customFormat="1" x14ac:dyDescent="0.25">
      <c r="A43" s="5">
        <v>42</v>
      </c>
      <c r="B43" s="11" t="s">
        <v>299</v>
      </c>
      <c r="C43" s="5" t="s">
        <v>305</v>
      </c>
      <c r="D43" s="7" t="s">
        <v>26</v>
      </c>
      <c r="E43" s="5" t="s">
        <v>146</v>
      </c>
      <c r="F43" s="5" t="s">
        <v>40</v>
      </c>
      <c r="G43" s="5" t="s">
        <v>41</v>
      </c>
      <c r="H43" s="5" t="s">
        <v>140</v>
      </c>
      <c r="I43" s="5" t="s">
        <v>306</v>
      </c>
      <c r="J43" s="5" t="s">
        <v>32</v>
      </c>
      <c r="K43" s="5" t="s">
        <v>32</v>
      </c>
      <c r="L43" s="5" t="s">
        <v>32</v>
      </c>
      <c r="M43" s="5" t="s">
        <v>307</v>
      </c>
      <c r="N43" s="5" t="s">
        <v>32</v>
      </c>
      <c r="O43" s="5" t="s">
        <v>32</v>
      </c>
      <c r="P43" s="5" t="s">
        <v>11</v>
      </c>
      <c r="Q43" s="5" t="s">
        <v>45</v>
      </c>
      <c r="R43" s="5" t="s">
        <v>35</v>
      </c>
      <c r="S43" s="5" t="s">
        <v>32</v>
      </c>
      <c r="T43" s="5" t="s">
        <v>32</v>
      </c>
      <c r="U43" s="5" t="s">
        <v>32</v>
      </c>
      <c r="V43" s="8">
        <v>80000</v>
      </c>
      <c r="W43" s="5" t="s">
        <v>307</v>
      </c>
      <c r="X43" s="5" t="s">
        <v>308</v>
      </c>
    </row>
    <row r="44" spans="1:24" s="4" customFormat="1" x14ac:dyDescent="0.25">
      <c r="A44" s="5">
        <v>43</v>
      </c>
      <c r="B44" s="11" t="s">
        <v>299</v>
      </c>
      <c r="C44" s="5" t="s">
        <v>309</v>
      </c>
      <c r="D44" s="7" t="s">
        <v>26</v>
      </c>
      <c r="E44" s="5" t="s">
        <v>48</v>
      </c>
      <c r="F44" s="5" t="s">
        <v>40</v>
      </c>
      <c r="G44" s="5" t="s">
        <v>29</v>
      </c>
      <c r="H44" s="5" t="s">
        <v>30</v>
      </c>
      <c r="I44" s="5" t="s">
        <v>32</v>
      </c>
      <c r="J44" s="5" t="s">
        <v>32</v>
      </c>
      <c r="K44" s="5" t="s">
        <v>310</v>
      </c>
      <c r="L44" s="5" t="s">
        <v>32</v>
      </c>
      <c r="M44" s="5" t="s">
        <v>32</v>
      </c>
      <c r="N44" s="5" t="s">
        <v>32</v>
      </c>
      <c r="O44" s="5" t="s">
        <v>32</v>
      </c>
      <c r="P44" s="5" t="s">
        <v>44</v>
      </c>
      <c r="Q44" s="5" t="s">
        <v>45</v>
      </c>
      <c r="R44" s="5" t="s">
        <v>35</v>
      </c>
      <c r="S44" s="5" t="s">
        <v>32</v>
      </c>
      <c r="T44" s="5" t="s">
        <v>32</v>
      </c>
      <c r="U44" s="5" t="s">
        <v>32</v>
      </c>
      <c r="V44" s="8">
        <v>40000</v>
      </c>
      <c r="W44" s="5" t="s">
        <v>51</v>
      </c>
      <c r="X44" s="5" t="s">
        <v>311</v>
      </c>
    </row>
    <row r="45" spans="1:24" s="4" customFormat="1" x14ac:dyDescent="0.25">
      <c r="A45" s="5">
        <v>44</v>
      </c>
      <c r="B45" s="11" t="s">
        <v>299</v>
      </c>
      <c r="C45" s="5" t="s">
        <v>312</v>
      </c>
      <c r="D45" s="7" t="s">
        <v>26</v>
      </c>
      <c r="E45" s="5" t="s">
        <v>313</v>
      </c>
      <c r="F45" s="5" t="s">
        <v>40</v>
      </c>
      <c r="G45" s="5" t="s">
        <v>41</v>
      </c>
      <c r="H45" s="5" t="s">
        <v>30</v>
      </c>
      <c r="I45" s="5" t="s">
        <v>314</v>
      </c>
      <c r="J45" s="5" t="s">
        <v>32</v>
      </c>
      <c r="K45" s="5" t="s">
        <v>32</v>
      </c>
      <c r="L45" s="5" t="s">
        <v>32</v>
      </c>
      <c r="M45" s="5" t="s">
        <v>315</v>
      </c>
      <c r="N45" s="5" t="s">
        <v>32</v>
      </c>
      <c r="O45" s="5" t="s">
        <v>32</v>
      </c>
      <c r="P45" s="5" t="s">
        <v>316</v>
      </c>
      <c r="Q45" s="5" t="s">
        <v>45</v>
      </c>
      <c r="R45" s="5" t="s">
        <v>35</v>
      </c>
      <c r="S45" s="5" t="s">
        <v>32</v>
      </c>
      <c r="T45" s="5" t="s">
        <v>32</v>
      </c>
      <c r="U45" s="5" t="s">
        <v>32</v>
      </c>
      <c r="V45" s="8">
        <v>40000</v>
      </c>
      <c r="W45" s="5" t="s">
        <v>315</v>
      </c>
      <c r="X45" s="5" t="s">
        <v>32</v>
      </c>
    </row>
    <row r="46" spans="1:24" s="4" customFormat="1" x14ac:dyDescent="0.25">
      <c r="A46" s="5">
        <v>45</v>
      </c>
      <c r="B46" s="11" t="s">
        <v>299</v>
      </c>
      <c r="C46" s="5" t="s">
        <v>317</v>
      </c>
      <c r="D46" s="7" t="s">
        <v>26</v>
      </c>
      <c r="E46" s="5" t="s">
        <v>318</v>
      </c>
      <c r="F46" s="5" t="s">
        <v>40</v>
      </c>
      <c r="G46" s="5" t="s">
        <v>41</v>
      </c>
      <c r="H46" s="5" t="s">
        <v>273</v>
      </c>
      <c r="I46" s="5" t="s">
        <v>319</v>
      </c>
      <c r="J46" s="5" t="s">
        <v>32</v>
      </c>
      <c r="K46" s="5" t="s">
        <v>32</v>
      </c>
      <c r="L46" s="5" t="s">
        <v>32</v>
      </c>
      <c r="M46" s="5" t="s">
        <v>320</v>
      </c>
      <c r="N46" s="5" t="s">
        <v>32</v>
      </c>
      <c r="O46" s="5" t="s">
        <v>32</v>
      </c>
      <c r="P46" s="5" t="s">
        <v>276</v>
      </c>
      <c r="Q46" s="5" t="s">
        <v>45</v>
      </c>
      <c r="R46" s="5" t="s">
        <v>35</v>
      </c>
      <c r="S46" s="5" t="s">
        <v>32</v>
      </c>
      <c r="T46" s="5" t="s">
        <v>32</v>
      </c>
      <c r="U46" s="5" t="s">
        <v>32</v>
      </c>
      <c r="V46" s="8">
        <v>40000</v>
      </c>
      <c r="W46" s="5" t="s">
        <v>320</v>
      </c>
      <c r="X46" s="5" t="s">
        <v>32</v>
      </c>
    </row>
    <row r="47" spans="1:24" s="4" customFormat="1" x14ac:dyDescent="0.25">
      <c r="A47" s="5">
        <v>46</v>
      </c>
      <c r="B47" s="11" t="s">
        <v>299</v>
      </c>
      <c r="C47" s="5" t="s">
        <v>321</v>
      </c>
      <c r="D47" s="7" t="s">
        <v>26</v>
      </c>
      <c r="E47" s="5" t="s">
        <v>48</v>
      </c>
      <c r="F47" s="5" t="s">
        <v>40</v>
      </c>
      <c r="G47" s="5" t="s">
        <v>49</v>
      </c>
      <c r="H47" s="5" t="s">
        <v>30</v>
      </c>
      <c r="I47" s="5" t="s">
        <v>32</v>
      </c>
      <c r="J47" s="5" t="s">
        <v>32</v>
      </c>
      <c r="K47" s="5" t="s">
        <v>322</v>
      </c>
      <c r="L47" s="5" t="s">
        <v>32</v>
      </c>
      <c r="M47" s="5" t="s">
        <v>32</v>
      </c>
      <c r="N47" s="5" t="s">
        <v>32</v>
      </c>
      <c r="O47" s="5" t="s">
        <v>32</v>
      </c>
      <c r="P47" s="5" t="s">
        <v>44</v>
      </c>
      <c r="Q47" s="5" t="s">
        <v>45</v>
      </c>
      <c r="R47" s="5" t="s">
        <v>35</v>
      </c>
      <c r="S47" s="5" t="s">
        <v>32</v>
      </c>
      <c r="T47" s="5" t="s">
        <v>32</v>
      </c>
      <c r="U47" s="5" t="s">
        <v>32</v>
      </c>
      <c r="V47" s="8">
        <v>30000</v>
      </c>
      <c r="W47" s="5" t="s">
        <v>51</v>
      </c>
      <c r="X47" s="5" t="s">
        <v>32</v>
      </c>
    </row>
    <row r="48" spans="1:24" s="4" customFormat="1" x14ac:dyDescent="0.25">
      <c r="A48" s="5">
        <v>47</v>
      </c>
      <c r="B48" s="11" t="s">
        <v>299</v>
      </c>
      <c r="C48" s="5" t="s">
        <v>323</v>
      </c>
      <c r="D48" s="7" t="s">
        <v>26</v>
      </c>
      <c r="E48" s="5" t="s">
        <v>324</v>
      </c>
      <c r="F48" s="5" t="s">
        <v>40</v>
      </c>
      <c r="G48" s="5" t="s">
        <v>41</v>
      </c>
      <c r="H48" s="5" t="s">
        <v>30</v>
      </c>
      <c r="I48" s="5" t="s">
        <v>32</v>
      </c>
      <c r="J48" s="5" t="s">
        <v>32</v>
      </c>
      <c r="K48" s="5" t="s">
        <v>325</v>
      </c>
      <c r="L48" s="5" t="s">
        <v>32</v>
      </c>
      <c r="M48" s="5" t="s">
        <v>32</v>
      </c>
      <c r="N48" s="5" t="s">
        <v>32</v>
      </c>
      <c r="O48" s="5" t="s">
        <v>32</v>
      </c>
      <c r="P48" s="5" t="s">
        <v>44</v>
      </c>
      <c r="Q48" s="5" t="s">
        <v>45</v>
      </c>
      <c r="R48" s="5" t="s">
        <v>35</v>
      </c>
      <c r="S48" s="5" t="s">
        <v>32</v>
      </c>
      <c r="T48" s="5" t="s">
        <v>32</v>
      </c>
      <c r="U48" s="5" t="s">
        <v>32</v>
      </c>
      <c r="V48" s="8">
        <v>40000</v>
      </c>
      <c r="W48" s="5" t="s">
        <v>51</v>
      </c>
      <c r="X48" s="5" t="s">
        <v>32</v>
      </c>
    </row>
    <row r="49" spans="1:24" s="4" customFormat="1" x14ac:dyDescent="0.25">
      <c r="A49" s="5">
        <v>48</v>
      </c>
      <c r="B49" s="11" t="s">
        <v>299</v>
      </c>
      <c r="C49" s="5" t="s">
        <v>326</v>
      </c>
      <c r="D49" s="7" t="s">
        <v>26</v>
      </c>
      <c r="E49" s="5" t="s">
        <v>54</v>
      </c>
      <c r="F49" s="5" t="s">
        <v>55</v>
      </c>
      <c r="G49" s="5" t="s">
        <v>55</v>
      </c>
      <c r="H49" s="5" t="s">
        <v>327</v>
      </c>
      <c r="I49" s="5" t="s">
        <v>328</v>
      </c>
      <c r="J49" s="5" t="s">
        <v>32</v>
      </c>
      <c r="K49" s="5" t="s">
        <v>32</v>
      </c>
      <c r="L49" s="5" t="s">
        <v>32</v>
      </c>
      <c r="M49" s="5" t="s">
        <v>329</v>
      </c>
      <c r="N49" s="5" t="s">
        <v>32</v>
      </c>
      <c r="O49" s="5" t="s">
        <v>32</v>
      </c>
      <c r="P49" s="5" t="s">
        <v>276</v>
      </c>
      <c r="Q49" s="5" t="s">
        <v>162</v>
      </c>
      <c r="R49" s="5" t="s">
        <v>35</v>
      </c>
      <c r="S49" s="5" t="s">
        <v>32</v>
      </c>
      <c r="T49" s="5" t="s">
        <v>32</v>
      </c>
      <c r="U49" s="5" t="s">
        <v>32</v>
      </c>
      <c r="V49" s="8">
        <v>40000</v>
      </c>
      <c r="W49" s="5" t="s">
        <v>329</v>
      </c>
      <c r="X49" s="5" t="s">
        <v>330</v>
      </c>
    </row>
    <row r="50" spans="1:24" s="4" customFormat="1" x14ac:dyDescent="0.25">
      <c r="A50" s="5">
        <v>49</v>
      </c>
      <c r="B50" s="11" t="s">
        <v>299</v>
      </c>
      <c r="C50" s="5" t="s">
        <v>331</v>
      </c>
      <c r="D50" s="7" t="s">
        <v>26</v>
      </c>
      <c r="E50" s="5" t="s">
        <v>54</v>
      </c>
      <c r="F50" s="5" t="s">
        <v>55</v>
      </c>
      <c r="G50" s="5" t="s">
        <v>55</v>
      </c>
      <c r="H50" s="5" t="s">
        <v>273</v>
      </c>
      <c r="I50" s="5" t="s">
        <v>332</v>
      </c>
      <c r="J50" s="5" t="s">
        <v>32</v>
      </c>
      <c r="K50" s="5" t="s">
        <v>32</v>
      </c>
      <c r="L50" s="5" t="s">
        <v>32</v>
      </c>
      <c r="M50" s="5" t="s">
        <v>333</v>
      </c>
      <c r="N50" s="5" t="s">
        <v>32</v>
      </c>
      <c r="O50" s="5" t="s">
        <v>32</v>
      </c>
      <c r="P50" s="5" t="s">
        <v>276</v>
      </c>
      <c r="Q50" s="5" t="s">
        <v>76</v>
      </c>
      <c r="R50" s="5" t="s">
        <v>35</v>
      </c>
      <c r="S50" s="5" t="s">
        <v>32</v>
      </c>
      <c r="T50" s="5" t="s">
        <v>32</v>
      </c>
      <c r="U50" s="5" t="s">
        <v>32</v>
      </c>
      <c r="V50" s="8">
        <v>80000</v>
      </c>
      <c r="W50" s="5" t="s">
        <v>333</v>
      </c>
      <c r="X50" s="5" t="s">
        <v>32</v>
      </c>
    </row>
    <row r="51" spans="1:24" s="4" customFormat="1" x14ac:dyDescent="0.25">
      <c r="A51" s="5">
        <v>50</v>
      </c>
      <c r="B51" s="11" t="s">
        <v>299</v>
      </c>
      <c r="C51" s="5" t="s">
        <v>334</v>
      </c>
      <c r="D51" s="7" t="s">
        <v>26</v>
      </c>
      <c r="E51" s="5" t="s">
        <v>80</v>
      </c>
      <c r="F51" s="5" t="s">
        <v>81</v>
      </c>
      <c r="G51" s="5" t="s">
        <v>29</v>
      </c>
      <c r="H51" s="5" t="s">
        <v>125</v>
      </c>
      <c r="I51" s="5" t="s">
        <v>335</v>
      </c>
      <c r="J51" s="5" t="s">
        <v>32</v>
      </c>
      <c r="K51" s="5" t="s">
        <v>32</v>
      </c>
      <c r="L51" s="5" t="s">
        <v>32</v>
      </c>
      <c r="M51" s="5" t="s">
        <v>336</v>
      </c>
      <c r="N51" s="5" t="s">
        <v>32</v>
      </c>
      <c r="O51" s="5" t="s">
        <v>32</v>
      </c>
      <c r="P51" s="5" t="s">
        <v>122</v>
      </c>
      <c r="Q51" s="5" t="s">
        <v>86</v>
      </c>
      <c r="R51" s="5" t="s">
        <v>35</v>
      </c>
      <c r="S51" s="5" t="s">
        <v>32</v>
      </c>
      <c r="T51" s="5" t="s">
        <v>32</v>
      </c>
      <c r="U51" s="5" t="s">
        <v>32</v>
      </c>
      <c r="V51" s="8">
        <v>400000</v>
      </c>
      <c r="W51" s="5" t="s">
        <v>36</v>
      </c>
      <c r="X51" s="5" t="s">
        <v>32</v>
      </c>
    </row>
    <row r="52" spans="1:24" s="4" customFormat="1" x14ac:dyDescent="0.25">
      <c r="A52" s="5">
        <v>51</v>
      </c>
      <c r="B52" s="11" t="s">
        <v>299</v>
      </c>
      <c r="C52" s="5" t="s">
        <v>337</v>
      </c>
      <c r="D52" s="7" t="s">
        <v>26</v>
      </c>
      <c r="E52" s="5" t="s">
        <v>80</v>
      </c>
      <c r="F52" s="5" t="s">
        <v>81</v>
      </c>
      <c r="G52" s="5" t="s">
        <v>29</v>
      </c>
      <c r="H52" s="5" t="s">
        <v>30</v>
      </c>
      <c r="I52" s="5" t="s">
        <v>338</v>
      </c>
      <c r="J52" s="5" t="s">
        <v>32</v>
      </c>
      <c r="K52" s="5" t="s">
        <v>32</v>
      </c>
      <c r="L52" s="5" t="s">
        <v>32</v>
      </c>
      <c r="M52" s="5" t="s">
        <v>339</v>
      </c>
      <c r="N52" s="5" t="s">
        <v>32</v>
      </c>
      <c r="O52" s="5" t="s">
        <v>32</v>
      </c>
      <c r="P52" s="5" t="s">
        <v>103</v>
      </c>
      <c r="Q52" s="5" t="s">
        <v>86</v>
      </c>
      <c r="R52" s="5" t="s">
        <v>35</v>
      </c>
      <c r="S52" s="5" t="s">
        <v>32</v>
      </c>
      <c r="T52" s="5" t="s">
        <v>32</v>
      </c>
      <c r="U52" s="5" t="s">
        <v>32</v>
      </c>
      <c r="V52" s="8">
        <v>500000</v>
      </c>
      <c r="W52" s="5" t="s">
        <v>36</v>
      </c>
      <c r="X52" s="5" t="s">
        <v>32</v>
      </c>
    </row>
    <row r="53" spans="1:24" s="4" customFormat="1" x14ac:dyDescent="0.25">
      <c r="A53" s="5">
        <v>52</v>
      </c>
      <c r="B53" s="11" t="s">
        <v>299</v>
      </c>
      <c r="C53" s="5" t="s">
        <v>340</v>
      </c>
      <c r="D53" s="7" t="s">
        <v>26</v>
      </c>
      <c r="E53" s="5" t="s">
        <v>80</v>
      </c>
      <c r="F53" s="5" t="s">
        <v>81</v>
      </c>
      <c r="G53" s="5" t="s">
        <v>29</v>
      </c>
      <c r="H53" s="5" t="s">
        <v>119</v>
      </c>
      <c r="I53" s="5" t="s">
        <v>341</v>
      </c>
      <c r="J53" s="5" t="s">
        <v>32</v>
      </c>
      <c r="K53" s="5" t="s">
        <v>32</v>
      </c>
      <c r="L53" s="5" t="s">
        <v>32</v>
      </c>
      <c r="M53" s="5" t="s">
        <v>342</v>
      </c>
      <c r="N53" s="5" t="s">
        <v>32</v>
      </c>
      <c r="O53" s="5" t="s">
        <v>32</v>
      </c>
      <c r="P53" s="5" t="s">
        <v>122</v>
      </c>
      <c r="Q53" s="5" t="s">
        <v>86</v>
      </c>
      <c r="R53" s="5" t="s">
        <v>35</v>
      </c>
      <c r="S53" s="5" t="s">
        <v>32</v>
      </c>
      <c r="T53" s="5" t="s">
        <v>32</v>
      </c>
      <c r="U53" s="5" t="s">
        <v>32</v>
      </c>
      <c r="V53" s="8">
        <v>400000</v>
      </c>
      <c r="W53" s="5" t="s">
        <v>36</v>
      </c>
      <c r="X53" s="5" t="s">
        <v>343</v>
      </c>
    </row>
    <row r="54" spans="1:24" s="4" customFormat="1" x14ac:dyDescent="0.25">
      <c r="A54" s="5">
        <v>53</v>
      </c>
      <c r="B54" s="11" t="s">
        <v>299</v>
      </c>
      <c r="C54" s="5" t="s">
        <v>344</v>
      </c>
      <c r="D54" s="7" t="s">
        <v>26</v>
      </c>
      <c r="E54" s="5" t="s">
        <v>80</v>
      </c>
      <c r="F54" s="5" t="s">
        <v>81</v>
      </c>
      <c r="G54" s="5" t="s">
        <v>345</v>
      </c>
      <c r="H54" s="5" t="s">
        <v>125</v>
      </c>
      <c r="I54" s="5" t="s">
        <v>346</v>
      </c>
      <c r="J54" s="5" t="s">
        <v>32</v>
      </c>
      <c r="K54" s="5" t="s">
        <v>32</v>
      </c>
      <c r="L54" s="5" t="s">
        <v>32</v>
      </c>
      <c r="M54" s="5" t="s">
        <v>347</v>
      </c>
      <c r="N54" s="5" t="s">
        <v>32</v>
      </c>
      <c r="O54" s="5" t="s">
        <v>32</v>
      </c>
      <c r="P54" s="5" t="s">
        <v>122</v>
      </c>
      <c r="Q54" s="5" t="s">
        <v>86</v>
      </c>
      <c r="R54" s="5" t="s">
        <v>35</v>
      </c>
      <c r="S54" s="5" t="s">
        <v>32</v>
      </c>
      <c r="T54" s="5" t="s">
        <v>32</v>
      </c>
      <c r="U54" s="5" t="s">
        <v>32</v>
      </c>
      <c r="V54" s="8">
        <v>400000</v>
      </c>
      <c r="W54" s="5" t="s">
        <v>36</v>
      </c>
      <c r="X54" s="5" t="s">
        <v>348</v>
      </c>
    </row>
    <row r="55" spans="1:24" s="4" customFormat="1" x14ac:dyDescent="0.25">
      <c r="A55" s="5">
        <v>54</v>
      </c>
      <c r="B55" s="11" t="s">
        <v>299</v>
      </c>
      <c r="C55" s="5" t="s">
        <v>349</v>
      </c>
      <c r="D55" s="7" t="s">
        <v>26</v>
      </c>
      <c r="E55" s="5" t="s">
        <v>80</v>
      </c>
      <c r="F55" s="5" t="s">
        <v>81</v>
      </c>
      <c r="G55" s="5" t="s">
        <v>41</v>
      </c>
      <c r="H55" s="5" t="s">
        <v>30</v>
      </c>
      <c r="I55" s="5" t="s">
        <v>350</v>
      </c>
      <c r="J55" s="5" t="s">
        <v>32</v>
      </c>
      <c r="K55" s="5" t="s">
        <v>32</v>
      </c>
      <c r="L55" s="5" t="s">
        <v>32</v>
      </c>
      <c r="M55" s="5" t="s">
        <v>32</v>
      </c>
      <c r="N55" s="5" t="s">
        <v>32</v>
      </c>
      <c r="O55" s="5" t="s">
        <v>32</v>
      </c>
      <c r="P55" s="5" t="s">
        <v>351</v>
      </c>
      <c r="Q55" s="5" t="s">
        <v>86</v>
      </c>
      <c r="R55" s="5" t="s">
        <v>35</v>
      </c>
      <c r="S55" s="5" t="s">
        <v>32</v>
      </c>
      <c r="T55" s="5" t="s">
        <v>32</v>
      </c>
      <c r="U55" s="5" t="s">
        <v>32</v>
      </c>
      <c r="V55" s="8">
        <v>200000</v>
      </c>
      <c r="W55" s="5" t="s">
        <v>352</v>
      </c>
      <c r="X55" s="5" t="s">
        <v>353</v>
      </c>
    </row>
    <row r="56" spans="1:24" s="4" customFormat="1" x14ac:dyDescent="0.25">
      <c r="A56" s="5">
        <v>55</v>
      </c>
      <c r="B56" s="11" t="s">
        <v>299</v>
      </c>
      <c r="C56" s="5" t="s">
        <v>354</v>
      </c>
      <c r="D56" s="7" t="s">
        <v>26</v>
      </c>
      <c r="E56" s="5" t="s">
        <v>80</v>
      </c>
      <c r="F56" s="5" t="s">
        <v>81</v>
      </c>
      <c r="G56" s="5" t="s">
        <v>91</v>
      </c>
      <c r="H56" s="5" t="s">
        <v>140</v>
      </c>
      <c r="I56" s="5" t="s">
        <v>355</v>
      </c>
      <c r="J56" s="5" t="s">
        <v>32</v>
      </c>
      <c r="K56" s="5" t="s">
        <v>32</v>
      </c>
      <c r="L56" s="5" t="s">
        <v>32</v>
      </c>
      <c r="M56" s="5" t="s">
        <v>356</v>
      </c>
      <c r="N56" s="5" t="s">
        <v>32</v>
      </c>
      <c r="O56" s="5" t="s">
        <v>32</v>
      </c>
      <c r="P56" s="5" t="s">
        <v>357</v>
      </c>
      <c r="Q56" s="5" t="s">
        <v>86</v>
      </c>
      <c r="R56" s="5" t="s">
        <v>35</v>
      </c>
      <c r="S56" s="5" t="s">
        <v>32</v>
      </c>
      <c r="T56" s="5" t="s">
        <v>32</v>
      </c>
      <c r="U56" s="5" t="s">
        <v>32</v>
      </c>
      <c r="V56" s="8">
        <v>250000</v>
      </c>
      <c r="W56" s="5" t="s">
        <v>36</v>
      </c>
      <c r="X56" s="5" t="s">
        <v>32</v>
      </c>
    </row>
    <row r="57" spans="1:24" s="4" customFormat="1" x14ac:dyDescent="0.25">
      <c r="A57" s="5">
        <v>56</v>
      </c>
      <c r="B57" s="11" t="s">
        <v>299</v>
      </c>
      <c r="C57" s="5" t="s">
        <v>358</v>
      </c>
      <c r="D57" s="7" t="s">
        <v>26</v>
      </c>
      <c r="E57" s="5" t="s">
        <v>80</v>
      </c>
      <c r="F57" s="5" t="s">
        <v>81</v>
      </c>
      <c r="G57" s="5" t="s">
        <v>41</v>
      </c>
      <c r="H57" s="5" t="s">
        <v>30</v>
      </c>
      <c r="I57" s="5" t="s">
        <v>350</v>
      </c>
      <c r="J57" s="5" t="s">
        <v>32</v>
      </c>
      <c r="K57" s="5" t="s">
        <v>32</v>
      </c>
      <c r="L57" s="5" t="s">
        <v>32</v>
      </c>
      <c r="M57" s="5" t="s">
        <v>359</v>
      </c>
      <c r="N57" s="5" t="s">
        <v>32</v>
      </c>
      <c r="O57" s="5" t="s">
        <v>32</v>
      </c>
      <c r="P57" s="5" t="s">
        <v>122</v>
      </c>
      <c r="Q57" s="5" t="s">
        <v>86</v>
      </c>
      <c r="R57" s="5" t="s">
        <v>35</v>
      </c>
      <c r="S57" s="5" t="s">
        <v>32</v>
      </c>
      <c r="T57" s="5" t="s">
        <v>32</v>
      </c>
      <c r="U57" s="5" t="s">
        <v>32</v>
      </c>
      <c r="V57" s="8">
        <v>200000</v>
      </c>
      <c r="W57" s="5" t="s">
        <v>352</v>
      </c>
      <c r="X57" s="5" t="s">
        <v>360</v>
      </c>
    </row>
    <row r="58" spans="1:24" s="4" customFormat="1" x14ac:dyDescent="0.25">
      <c r="A58" s="5">
        <v>57</v>
      </c>
      <c r="B58" s="11" t="s">
        <v>299</v>
      </c>
      <c r="C58" s="5" t="s">
        <v>361</v>
      </c>
      <c r="D58" s="7" t="s">
        <v>26</v>
      </c>
      <c r="E58" s="5" t="s">
        <v>80</v>
      </c>
      <c r="F58" s="5" t="s">
        <v>81</v>
      </c>
      <c r="G58" s="5" t="s">
        <v>41</v>
      </c>
      <c r="H58" s="5" t="s">
        <v>30</v>
      </c>
      <c r="I58" s="5" t="s">
        <v>350</v>
      </c>
      <c r="J58" s="5" t="s">
        <v>32</v>
      </c>
      <c r="K58" s="5" t="s">
        <v>32</v>
      </c>
      <c r="L58" s="5" t="s">
        <v>32</v>
      </c>
      <c r="M58" s="5" t="s">
        <v>32</v>
      </c>
      <c r="N58" s="5" t="s">
        <v>32</v>
      </c>
      <c r="O58" s="5" t="s">
        <v>32</v>
      </c>
      <c r="P58" s="5" t="s">
        <v>351</v>
      </c>
      <c r="Q58" s="5" t="s">
        <v>86</v>
      </c>
      <c r="R58" s="5" t="s">
        <v>35</v>
      </c>
      <c r="S58" s="5" t="s">
        <v>32</v>
      </c>
      <c r="T58" s="5" t="s">
        <v>32</v>
      </c>
      <c r="U58" s="5" t="s">
        <v>32</v>
      </c>
      <c r="V58" s="8">
        <v>200000</v>
      </c>
      <c r="W58" s="5" t="s">
        <v>352</v>
      </c>
      <c r="X58" s="5" t="s">
        <v>362</v>
      </c>
    </row>
    <row r="59" spans="1:24" s="4" customFormat="1" x14ac:dyDescent="0.25">
      <c r="A59" s="5">
        <v>58</v>
      </c>
      <c r="B59" s="11" t="s">
        <v>299</v>
      </c>
      <c r="C59" s="5" t="s">
        <v>363</v>
      </c>
      <c r="D59" s="7" t="s">
        <v>26</v>
      </c>
      <c r="E59" s="5" t="s">
        <v>80</v>
      </c>
      <c r="F59" s="5" t="s">
        <v>81</v>
      </c>
      <c r="G59" s="5" t="s">
        <v>91</v>
      </c>
      <c r="H59" s="5" t="s">
        <v>140</v>
      </c>
      <c r="I59" s="5" t="s">
        <v>364</v>
      </c>
      <c r="J59" s="5" t="s">
        <v>32</v>
      </c>
      <c r="K59" s="5" t="s">
        <v>32</v>
      </c>
      <c r="L59" s="5" t="s">
        <v>32</v>
      </c>
      <c r="M59" s="5" t="s">
        <v>365</v>
      </c>
      <c r="N59" s="5" t="s">
        <v>32</v>
      </c>
      <c r="O59" s="5" t="s">
        <v>32</v>
      </c>
      <c r="P59" s="5" t="s">
        <v>357</v>
      </c>
      <c r="Q59" s="5" t="s">
        <v>86</v>
      </c>
      <c r="R59" s="5" t="s">
        <v>35</v>
      </c>
      <c r="S59" s="5" t="s">
        <v>32</v>
      </c>
      <c r="T59" s="5" t="s">
        <v>32</v>
      </c>
      <c r="U59" s="5" t="s">
        <v>32</v>
      </c>
      <c r="V59" s="8">
        <v>300000</v>
      </c>
      <c r="W59" s="5" t="s">
        <v>36</v>
      </c>
      <c r="X59" s="5" t="s">
        <v>32</v>
      </c>
    </row>
    <row r="60" spans="1:24" s="4" customFormat="1" x14ac:dyDescent="0.25">
      <c r="A60" s="5">
        <v>59</v>
      </c>
      <c r="B60" s="11" t="s">
        <v>299</v>
      </c>
      <c r="C60" s="5" t="s">
        <v>366</v>
      </c>
      <c r="D60" s="7" t="s">
        <v>26</v>
      </c>
      <c r="E60" s="5" t="s">
        <v>80</v>
      </c>
      <c r="F60" s="5" t="s">
        <v>81</v>
      </c>
      <c r="G60" s="5" t="s">
        <v>29</v>
      </c>
      <c r="H60" s="5" t="s">
        <v>30</v>
      </c>
      <c r="I60" s="5" t="s">
        <v>367</v>
      </c>
      <c r="J60" s="5" t="s">
        <v>32</v>
      </c>
      <c r="K60" s="5" t="s">
        <v>32</v>
      </c>
      <c r="L60" s="5" t="s">
        <v>32</v>
      </c>
      <c r="M60" s="5" t="s">
        <v>368</v>
      </c>
      <c r="N60" s="5" t="s">
        <v>32</v>
      </c>
      <c r="O60" s="5" t="s">
        <v>32</v>
      </c>
      <c r="P60" s="5" t="s">
        <v>122</v>
      </c>
      <c r="Q60" s="5" t="s">
        <v>86</v>
      </c>
      <c r="R60" s="5" t="s">
        <v>35</v>
      </c>
      <c r="S60" s="5" t="s">
        <v>32</v>
      </c>
      <c r="T60" s="5" t="s">
        <v>32</v>
      </c>
      <c r="U60" s="5" t="s">
        <v>32</v>
      </c>
      <c r="V60" s="8">
        <v>400000</v>
      </c>
      <c r="W60" s="5" t="s">
        <v>36</v>
      </c>
      <c r="X60" s="5" t="s">
        <v>32</v>
      </c>
    </row>
    <row r="61" spans="1:24" s="4" customFormat="1" x14ac:dyDescent="0.25">
      <c r="A61" s="5">
        <v>60</v>
      </c>
      <c r="B61" s="11" t="s">
        <v>299</v>
      </c>
      <c r="C61" s="5" t="s">
        <v>369</v>
      </c>
      <c r="D61" s="7" t="s">
        <v>26</v>
      </c>
      <c r="E61" s="5" t="s">
        <v>80</v>
      </c>
      <c r="F61" s="5" t="s">
        <v>81</v>
      </c>
      <c r="G61" s="5" t="s">
        <v>345</v>
      </c>
      <c r="H61" s="5" t="s">
        <v>125</v>
      </c>
      <c r="I61" s="5" t="s">
        <v>346</v>
      </c>
      <c r="J61" s="5" t="s">
        <v>32</v>
      </c>
      <c r="K61" s="5" t="s">
        <v>32</v>
      </c>
      <c r="L61" s="5" t="s">
        <v>32</v>
      </c>
      <c r="M61" s="5" t="s">
        <v>370</v>
      </c>
      <c r="N61" s="5" t="s">
        <v>32</v>
      </c>
      <c r="O61" s="5" t="s">
        <v>32</v>
      </c>
      <c r="P61" s="5" t="s">
        <v>122</v>
      </c>
      <c r="Q61" s="5" t="s">
        <v>86</v>
      </c>
      <c r="R61" s="5" t="s">
        <v>35</v>
      </c>
      <c r="S61" s="5" t="s">
        <v>32</v>
      </c>
      <c r="T61" s="5" t="s">
        <v>32</v>
      </c>
      <c r="U61" s="5" t="s">
        <v>32</v>
      </c>
      <c r="V61" s="8">
        <v>400000</v>
      </c>
      <c r="W61" s="5" t="s">
        <v>36</v>
      </c>
      <c r="X61" s="5" t="s">
        <v>32</v>
      </c>
    </row>
    <row r="62" spans="1:24" s="4" customFormat="1" x14ac:dyDescent="0.25">
      <c r="A62" s="5">
        <v>61</v>
      </c>
      <c r="B62" s="11" t="s">
        <v>299</v>
      </c>
      <c r="C62" s="5" t="s">
        <v>371</v>
      </c>
      <c r="D62" s="7" t="s">
        <v>26</v>
      </c>
      <c r="E62" s="5" t="s">
        <v>80</v>
      </c>
      <c r="F62" s="5" t="s">
        <v>81</v>
      </c>
      <c r="G62" s="5" t="s">
        <v>29</v>
      </c>
      <c r="H62" s="5" t="s">
        <v>30</v>
      </c>
      <c r="I62" s="5" t="s">
        <v>372</v>
      </c>
      <c r="J62" s="5" t="s">
        <v>32</v>
      </c>
      <c r="K62" s="5" t="s">
        <v>32</v>
      </c>
      <c r="L62" s="5" t="s">
        <v>32</v>
      </c>
      <c r="M62" s="5" t="s">
        <v>373</v>
      </c>
      <c r="N62" s="5" t="s">
        <v>32</v>
      </c>
      <c r="O62" s="5" t="s">
        <v>32</v>
      </c>
      <c r="P62" s="5" t="s">
        <v>103</v>
      </c>
      <c r="Q62" s="5" t="s">
        <v>86</v>
      </c>
      <c r="R62" s="5" t="s">
        <v>35</v>
      </c>
      <c r="S62" s="5" t="s">
        <v>32</v>
      </c>
      <c r="T62" s="5" t="s">
        <v>32</v>
      </c>
      <c r="U62" s="5" t="s">
        <v>32</v>
      </c>
      <c r="V62" s="8">
        <v>400000</v>
      </c>
      <c r="W62" s="5" t="s">
        <v>36</v>
      </c>
      <c r="X62" s="5" t="s">
        <v>32</v>
      </c>
    </row>
    <row r="63" spans="1:24" s="4" customFormat="1" x14ac:dyDescent="0.25">
      <c r="A63" s="5">
        <v>62</v>
      </c>
      <c r="B63" s="11" t="s">
        <v>299</v>
      </c>
      <c r="C63" s="5" t="s">
        <v>374</v>
      </c>
      <c r="D63" s="7" t="s">
        <v>26</v>
      </c>
      <c r="E63" s="5" t="s">
        <v>80</v>
      </c>
      <c r="F63" s="5" t="s">
        <v>81</v>
      </c>
      <c r="G63" s="5" t="s">
        <v>179</v>
      </c>
      <c r="H63" s="5" t="s">
        <v>30</v>
      </c>
      <c r="I63" s="5" t="s">
        <v>83</v>
      </c>
      <c r="J63" s="5" t="s">
        <v>32</v>
      </c>
      <c r="K63" s="5" t="s">
        <v>32</v>
      </c>
      <c r="L63" s="5" t="s">
        <v>32</v>
      </c>
      <c r="M63" s="5" t="s">
        <v>32</v>
      </c>
      <c r="N63" s="5" t="s">
        <v>32</v>
      </c>
      <c r="O63" s="5" t="s">
        <v>32</v>
      </c>
      <c r="P63" s="5" t="s">
        <v>357</v>
      </c>
      <c r="Q63" s="5" t="s">
        <v>86</v>
      </c>
      <c r="R63" s="5" t="s">
        <v>35</v>
      </c>
      <c r="S63" s="5" t="s">
        <v>32</v>
      </c>
      <c r="T63" s="5" t="s">
        <v>32</v>
      </c>
      <c r="U63" s="5" t="s">
        <v>32</v>
      </c>
      <c r="V63" s="8">
        <v>200000</v>
      </c>
      <c r="W63" s="5" t="s">
        <v>98</v>
      </c>
      <c r="X63" s="5" t="s">
        <v>375</v>
      </c>
    </row>
    <row r="64" spans="1:24" s="4" customFormat="1" x14ac:dyDescent="0.25">
      <c r="A64" s="5">
        <v>63</v>
      </c>
      <c r="B64" s="11" t="s">
        <v>299</v>
      </c>
      <c r="C64" s="5" t="s">
        <v>376</v>
      </c>
      <c r="D64" s="7" t="s">
        <v>26</v>
      </c>
      <c r="E64" s="5" t="s">
        <v>80</v>
      </c>
      <c r="F64" s="5" t="s">
        <v>81</v>
      </c>
      <c r="G64" s="5" t="s">
        <v>41</v>
      </c>
      <c r="H64" s="5" t="s">
        <v>30</v>
      </c>
      <c r="I64" s="5" t="s">
        <v>350</v>
      </c>
      <c r="J64" s="5" t="s">
        <v>32</v>
      </c>
      <c r="K64" s="5" t="s">
        <v>32</v>
      </c>
      <c r="L64" s="5" t="s">
        <v>32</v>
      </c>
      <c r="M64" s="5" t="s">
        <v>32</v>
      </c>
      <c r="N64" s="5" t="s">
        <v>32</v>
      </c>
      <c r="O64" s="5" t="s">
        <v>32</v>
      </c>
      <c r="P64" s="5" t="s">
        <v>377</v>
      </c>
      <c r="Q64" s="5" t="s">
        <v>86</v>
      </c>
      <c r="R64" s="5" t="s">
        <v>35</v>
      </c>
      <c r="S64" s="5" t="s">
        <v>32</v>
      </c>
      <c r="T64" s="5" t="s">
        <v>32</v>
      </c>
      <c r="U64" s="5" t="s">
        <v>32</v>
      </c>
      <c r="V64" s="8">
        <v>200000</v>
      </c>
      <c r="W64" s="5" t="s">
        <v>352</v>
      </c>
      <c r="X64" s="5" t="s">
        <v>378</v>
      </c>
    </row>
    <row r="65" spans="1:24" s="4" customFormat="1" x14ac:dyDescent="0.25">
      <c r="A65" s="5">
        <v>64</v>
      </c>
      <c r="B65" s="11" t="s">
        <v>299</v>
      </c>
      <c r="C65" s="5" t="s">
        <v>379</v>
      </c>
      <c r="D65" s="7" t="s">
        <v>26</v>
      </c>
      <c r="E65" s="5" t="s">
        <v>157</v>
      </c>
      <c r="F65" s="5" t="s">
        <v>158</v>
      </c>
      <c r="G65" s="5" t="s">
        <v>179</v>
      </c>
      <c r="H65" s="5" t="s">
        <v>140</v>
      </c>
      <c r="I65" s="5" t="s">
        <v>380</v>
      </c>
      <c r="J65" s="5" t="s">
        <v>32</v>
      </c>
      <c r="K65" s="5" t="s">
        <v>32</v>
      </c>
      <c r="L65" s="5" t="s">
        <v>32</v>
      </c>
      <c r="M65" s="5" t="s">
        <v>381</v>
      </c>
      <c r="N65" s="5" t="s">
        <v>32</v>
      </c>
      <c r="O65" s="5" t="s">
        <v>32</v>
      </c>
      <c r="P65" s="5" t="s">
        <v>161</v>
      </c>
      <c r="Q65" s="5" t="s">
        <v>162</v>
      </c>
      <c r="R65" s="5" t="s">
        <v>35</v>
      </c>
      <c r="S65" s="5" t="s">
        <v>32</v>
      </c>
      <c r="T65" s="5" t="s">
        <v>32</v>
      </c>
      <c r="U65" s="5" t="s">
        <v>32</v>
      </c>
      <c r="V65" s="8">
        <v>60000</v>
      </c>
      <c r="W65" s="5" t="s">
        <v>381</v>
      </c>
      <c r="X65" s="5" t="s">
        <v>382</v>
      </c>
    </row>
    <row r="66" spans="1:24" s="4" customFormat="1" x14ac:dyDescent="0.25">
      <c r="A66" s="5">
        <v>65</v>
      </c>
      <c r="B66" s="11" t="s">
        <v>299</v>
      </c>
      <c r="C66" s="5" t="s">
        <v>383</v>
      </c>
      <c r="D66" s="7" t="s">
        <v>26</v>
      </c>
      <c r="E66" s="5" t="s">
        <v>384</v>
      </c>
      <c r="F66" s="5" t="s">
        <v>158</v>
      </c>
      <c r="G66" s="5" t="s">
        <v>41</v>
      </c>
      <c r="H66" s="5" t="s">
        <v>30</v>
      </c>
      <c r="I66" s="5" t="s">
        <v>385</v>
      </c>
      <c r="J66" s="5" t="s">
        <v>32</v>
      </c>
      <c r="K66" s="5" t="s">
        <v>32</v>
      </c>
      <c r="L66" s="5" t="s">
        <v>32</v>
      </c>
      <c r="M66" s="5" t="s">
        <v>32</v>
      </c>
      <c r="N66" s="5" t="s">
        <v>32</v>
      </c>
      <c r="O66" s="5" t="s">
        <v>32</v>
      </c>
      <c r="P66" s="5" t="s">
        <v>351</v>
      </c>
      <c r="Q66" s="5" t="s">
        <v>162</v>
      </c>
      <c r="R66" s="5" t="s">
        <v>35</v>
      </c>
      <c r="S66" s="5" t="s">
        <v>32</v>
      </c>
      <c r="T66" s="5" t="s">
        <v>32</v>
      </c>
      <c r="U66" s="5" t="s">
        <v>32</v>
      </c>
      <c r="V66" s="8">
        <v>50000</v>
      </c>
      <c r="W66" s="5" t="s">
        <v>36</v>
      </c>
      <c r="X66" s="5" t="s">
        <v>386</v>
      </c>
    </row>
    <row r="67" spans="1:24" s="4" customFormat="1" x14ac:dyDescent="0.25">
      <c r="A67" s="5">
        <v>66</v>
      </c>
      <c r="B67" s="11" t="s">
        <v>299</v>
      </c>
      <c r="C67" s="5" t="s">
        <v>387</v>
      </c>
      <c r="D67" s="7" t="s">
        <v>26</v>
      </c>
      <c r="E67" s="5" t="s">
        <v>157</v>
      </c>
      <c r="F67" s="5" t="s">
        <v>191</v>
      </c>
      <c r="G67" s="5" t="s">
        <v>29</v>
      </c>
      <c r="H67" s="5" t="s">
        <v>30</v>
      </c>
      <c r="I67" s="5" t="s">
        <v>388</v>
      </c>
      <c r="J67" s="5" t="s">
        <v>32</v>
      </c>
      <c r="K67" s="5" t="s">
        <v>32</v>
      </c>
      <c r="L67" s="5" t="s">
        <v>32</v>
      </c>
      <c r="M67" s="5" t="s">
        <v>389</v>
      </c>
      <c r="N67" s="5" t="s">
        <v>32</v>
      </c>
      <c r="O67" s="5" t="s">
        <v>32</v>
      </c>
      <c r="P67" s="5" t="s">
        <v>276</v>
      </c>
      <c r="Q67" s="5" t="s">
        <v>76</v>
      </c>
      <c r="R67" s="5" t="s">
        <v>35</v>
      </c>
      <c r="S67" s="5" t="s">
        <v>32</v>
      </c>
      <c r="T67" s="5" t="s">
        <v>32</v>
      </c>
      <c r="U67" s="5" t="s">
        <v>32</v>
      </c>
      <c r="V67" s="8">
        <v>150000</v>
      </c>
      <c r="W67" s="5" t="s">
        <v>389</v>
      </c>
      <c r="X67" s="5" t="s">
        <v>32</v>
      </c>
    </row>
    <row r="68" spans="1:24" s="4" customFormat="1" x14ac:dyDescent="0.25">
      <c r="A68" s="5">
        <v>67</v>
      </c>
      <c r="B68" s="11" t="s">
        <v>299</v>
      </c>
      <c r="C68" s="5" t="s">
        <v>390</v>
      </c>
      <c r="D68" s="7" t="s">
        <v>26</v>
      </c>
      <c r="E68" s="5" t="s">
        <v>391</v>
      </c>
      <c r="F68" s="5" t="s">
        <v>191</v>
      </c>
      <c r="G68" s="5" t="s">
        <v>29</v>
      </c>
      <c r="H68" s="5" t="s">
        <v>30</v>
      </c>
      <c r="I68" s="5" t="s">
        <v>392</v>
      </c>
      <c r="J68" s="5" t="s">
        <v>32</v>
      </c>
      <c r="K68" s="5" t="s">
        <v>32</v>
      </c>
      <c r="L68" s="5" t="s">
        <v>32</v>
      </c>
      <c r="M68" s="5" t="s">
        <v>393</v>
      </c>
      <c r="N68" s="5" t="s">
        <v>32</v>
      </c>
      <c r="O68" s="5" t="s">
        <v>32</v>
      </c>
      <c r="P68" s="5" t="s">
        <v>276</v>
      </c>
      <c r="Q68" s="5" t="s">
        <v>76</v>
      </c>
      <c r="R68" s="5" t="s">
        <v>35</v>
      </c>
      <c r="S68" s="5" t="s">
        <v>32</v>
      </c>
      <c r="T68" s="5" t="s">
        <v>32</v>
      </c>
      <c r="U68" s="5" t="s">
        <v>32</v>
      </c>
      <c r="V68" s="8">
        <v>150000</v>
      </c>
      <c r="W68" s="5" t="s">
        <v>393</v>
      </c>
      <c r="X68" s="5" t="s">
        <v>32</v>
      </c>
    </row>
    <row r="69" spans="1:24" s="4" customFormat="1" x14ac:dyDescent="0.25">
      <c r="A69" s="5">
        <v>68</v>
      </c>
      <c r="B69" s="11" t="s">
        <v>299</v>
      </c>
      <c r="C69" s="5" t="s">
        <v>394</v>
      </c>
      <c r="D69" s="7" t="s">
        <v>26</v>
      </c>
      <c r="E69" s="5" t="s">
        <v>391</v>
      </c>
      <c r="F69" s="5" t="s">
        <v>191</v>
      </c>
      <c r="G69" s="5" t="s">
        <v>29</v>
      </c>
      <c r="H69" s="5" t="s">
        <v>140</v>
      </c>
      <c r="I69" s="5" t="s">
        <v>395</v>
      </c>
      <c r="J69" s="5" t="s">
        <v>32</v>
      </c>
      <c r="K69" s="5" t="s">
        <v>32</v>
      </c>
      <c r="L69" s="5" t="s">
        <v>32</v>
      </c>
      <c r="M69" s="5" t="s">
        <v>396</v>
      </c>
      <c r="N69" s="5" t="s">
        <v>32</v>
      </c>
      <c r="O69" s="5" t="s">
        <v>32</v>
      </c>
      <c r="P69" s="5" t="s">
        <v>276</v>
      </c>
      <c r="Q69" s="5" t="s">
        <v>76</v>
      </c>
      <c r="R69" s="5" t="s">
        <v>35</v>
      </c>
      <c r="S69" s="5" t="s">
        <v>32</v>
      </c>
      <c r="T69" s="5" t="s">
        <v>32</v>
      </c>
      <c r="U69" s="5" t="s">
        <v>32</v>
      </c>
      <c r="V69" s="8">
        <v>120000</v>
      </c>
      <c r="W69" s="5" t="s">
        <v>396</v>
      </c>
      <c r="X69" s="5" t="s">
        <v>32</v>
      </c>
    </row>
    <row r="70" spans="1:24" s="4" customFormat="1" x14ac:dyDescent="0.25">
      <c r="A70" s="5">
        <v>69</v>
      </c>
      <c r="B70" s="11" t="s">
        <v>299</v>
      </c>
      <c r="C70" s="5" t="s">
        <v>397</v>
      </c>
      <c r="D70" s="7" t="s">
        <v>26</v>
      </c>
      <c r="E70" s="5" t="s">
        <v>391</v>
      </c>
      <c r="F70" s="5" t="s">
        <v>191</v>
      </c>
      <c r="G70" s="5" t="s">
        <v>29</v>
      </c>
      <c r="H70" s="5" t="s">
        <v>30</v>
      </c>
      <c r="I70" s="5" t="s">
        <v>398</v>
      </c>
      <c r="J70" s="5" t="s">
        <v>32</v>
      </c>
      <c r="K70" s="5" t="s">
        <v>32</v>
      </c>
      <c r="L70" s="5" t="s">
        <v>32</v>
      </c>
      <c r="M70" s="5" t="s">
        <v>399</v>
      </c>
      <c r="N70" s="5" t="s">
        <v>32</v>
      </c>
      <c r="O70" s="5" t="s">
        <v>32</v>
      </c>
      <c r="P70" s="5" t="s">
        <v>276</v>
      </c>
      <c r="Q70" s="5" t="s">
        <v>76</v>
      </c>
      <c r="R70" s="5" t="s">
        <v>35</v>
      </c>
      <c r="S70" s="5" t="s">
        <v>32</v>
      </c>
      <c r="T70" s="5" t="s">
        <v>32</v>
      </c>
      <c r="U70" s="5" t="s">
        <v>32</v>
      </c>
      <c r="V70" s="8">
        <v>150000</v>
      </c>
      <c r="W70" s="5" t="s">
        <v>399</v>
      </c>
      <c r="X70" s="5" t="s">
        <v>400</v>
      </c>
    </row>
    <row r="71" spans="1:24" s="4" customFormat="1" x14ac:dyDescent="0.25">
      <c r="A71" s="5">
        <v>70</v>
      </c>
      <c r="B71" s="11" t="s">
        <v>299</v>
      </c>
      <c r="C71" s="5" t="s">
        <v>401</v>
      </c>
      <c r="D71" s="7" t="s">
        <v>26</v>
      </c>
      <c r="E71" s="5" t="s">
        <v>146</v>
      </c>
      <c r="F71" s="5" t="s">
        <v>191</v>
      </c>
      <c r="G71" s="5" t="s">
        <v>29</v>
      </c>
      <c r="H71" s="5" t="s">
        <v>30</v>
      </c>
      <c r="I71" s="5" t="s">
        <v>388</v>
      </c>
      <c r="J71" s="5" t="s">
        <v>32</v>
      </c>
      <c r="K71" s="5" t="s">
        <v>32</v>
      </c>
      <c r="L71" s="5" t="s">
        <v>32</v>
      </c>
      <c r="M71" s="5" t="s">
        <v>402</v>
      </c>
      <c r="N71" s="5" t="s">
        <v>32</v>
      </c>
      <c r="O71" s="5" t="s">
        <v>32</v>
      </c>
      <c r="P71" s="5" t="s">
        <v>276</v>
      </c>
      <c r="Q71" s="5" t="s">
        <v>76</v>
      </c>
      <c r="R71" s="5" t="s">
        <v>35</v>
      </c>
      <c r="S71" s="5" t="s">
        <v>32</v>
      </c>
      <c r="T71" s="5" t="s">
        <v>32</v>
      </c>
      <c r="U71" s="5" t="s">
        <v>32</v>
      </c>
      <c r="V71" s="8">
        <v>120000</v>
      </c>
      <c r="W71" s="5" t="s">
        <v>402</v>
      </c>
      <c r="X71" s="5" t="s">
        <v>32</v>
      </c>
    </row>
    <row r="72" spans="1:24" s="4" customFormat="1" x14ac:dyDescent="0.25">
      <c r="A72" s="5">
        <v>71</v>
      </c>
      <c r="B72" s="11" t="s">
        <v>299</v>
      </c>
      <c r="C72" s="5" t="s">
        <v>403</v>
      </c>
      <c r="D72" s="7" t="s">
        <v>26</v>
      </c>
      <c r="E72" s="5" t="s">
        <v>318</v>
      </c>
      <c r="F72" s="5" t="s">
        <v>191</v>
      </c>
      <c r="G72" s="5" t="s">
        <v>404</v>
      </c>
      <c r="H72" s="5" t="s">
        <v>140</v>
      </c>
      <c r="I72" s="5" t="s">
        <v>405</v>
      </c>
      <c r="J72" s="5" t="s">
        <v>32</v>
      </c>
      <c r="K72" s="5" t="s">
        <v>32</v>
      </c>
      <c r="L72" s="5" t="s">
        <v>32</v>
      </c>
      <c r="M72" s="5" t="s">
        <v>406</v>
      </c>
      <c r="N72" s="5" t="s">
        <v>32</v>
      </c>
      <c r="O72" s="5" t="s">
        <v>32</v>
      </c>
      <c r="P72" s="5" t="s">
        <v>276</v>
      </c>
      <c r="Q72" s="5" t="s">
        <v>76</v>
      </c>
      <c r="R72" s="5" t="s">
        <v>35</v>
      </c>
      <c r="S72" s="5" t="s">
        <v>32</v>
      </c>
      <c r="T72" s="5" t="s">
        <v>32</v>
      </c>
      <c r="U72" s="5" t="s">
        <v>32</v>
      </c>
      <c r="V72" s="8">
        <v>120000</v>
      </c>
      <c r="W72" s="5" t="s">
        <v>406</v>
      </c>
      <c r="X72" s="5" t="s">
        <v>32</v>
      </c>
    </row>
    <row r="73" spans="1:24" s="4" customFormat="1" x14ac:dyDescent="0.25">
      <c r="A73" s="5">
        <v>72</v>
      </c>
      <c r="B73" s="11" t="s">
        <v>299</v>
      </c>
      <c r="C73" s="5" t="s">
        <v>407</v>
      </c>
      <c r="D73" s="7" t="s">
        <v>26</v>
      </c>
      <c r="E73" s="5" t="s">
        <v>391</v>
      </c>
      <c r="F73" s="5" t="s">
        <v>191</v>
      </c>
      <c r="G73" s="5" t="s">
        <v>29</v>
      </c>
      <c r="H73" s="5" t="s">
        <v>30</v>
      </c>
      <c r="I73" s="5" t="s">
        <v>388</v>
      </c>
      <c r="J73" s="5" t="s">
        <v>32</v>
      </c>
      <c r="K73" s="5" t="s">
        <v>32</v>
      </c>
      <c r="L73" s="5" t="s">
        <v>32</v>
      </c>
      <c r="M73" s="5" t="s">
        <v>408</v>
      </c>
      <c r="N73" s="5" t="s">
        <v>32</v>
      </c>
      <c r="O73" s="5" t="s">
        <v>32</v>
      </c>
      <c r="P73" s="5" t="s">
        <v>276</v>
      </c>
      <c r="Q73" s="5" t="s">
        <v>76</v>
      </c>
      <c r="R73" s="5" t="s">
        <v>35</v>
      </c>
      <c r="S73" s="5" t="s">
        <v>32</v>
      </c>
      <c r="T73" s="5" t="s">
        <v>32</v>
      </c>
      <c r="U73" s="5" t="s">
        <v>32</v>
      </c>
      <c r="V73" s="8">
        <v>150000</v>
      </c>
      <c r="W73" s="5" t="s">
        <v>408</v>
      </c>
      <c r="X73" s="5" t="s">
        <v>32</v>
      </c>
    </row>
    <row r="74" spans="1:24" s="4" customFormat="1" x14ac:dyDescent="0.25">
      <c r="A74" s="5">
        <v>73</v>
      </c>
      <c r="B74" s="11" t="s">
        <v>299</v>
      </c>
      <c r="C74" s="5" t="s">
        <v>409</v>
      </c>
      <c r="D74" s="7" t="s">
        <v>26</v>
      </c>
      <c r="E74" s="5" t="s">
        <v>173</v>
      </c>
      <c r="F74" s="5" t="s">
        <v>215</v>
      </c>
      <c r="G74" s="5" t="s">
        <v>223</v>
      </c>
      <c r="H74" s="5" t="s">
        <v>140</v>
      </c>
      <c r="I74" s="5" t="s">
        <v>410</v>
      </c>
      <c r="J74" s="5" t="s">
        <v>32</v>
      </c>
      <c r="K74" s="5" t="s">
        <v>32</v>
      </c>
      <c r="L74" s="5" t="s">
        <v>32</v>
      </c>
      <c r="M74" s="5" t="s">
        <v>32</v>
      </c>
      <c r="N74" s="5" t="s">
        <v>411</v>
      </c>
      <c r="O74" s="5" t="s">
        <v>32</v>
      </c>
      <c r="P74" s="5" t="s">
        <v>175</v>
      </c>
      <c r="Q74" s="5" t="s">
        <v>219</v>
      </c>
      <c r="R74" s="5" t="s">
        <v>35</v>
      </c>
      <c r="S74" s="5" t="s">
        <v>32</v>
      </c>
      <c r="T74" s="5" t="s">
        <v>32</v>
      </c>
      <c r="U74" s="5" t="s">
        <v>32</v>
      </c>
      <c r="V74" s="8">
        <v>60000</v>
      </c>
      <c r="W74" s="5" t="s">
        <v>412</v>
      </c>
      <c r="X74" s="5" t="s">
        <v>413</v>
      </c>
    </row>
    <row r="75" spans="1:24" s="4" customFormat="1" x14ac:dyDescent="0.25">
      <c r="A75" s="5">
        <v>74</v>
      </c>
      <c r="B75" s="11" t="s">
        <v>299</v>
      </c>
      <c r="C75" s="5" t="s">
        <v>414</v>
      </c>
      <c r="D75" s="7" t="s">
        <v>26</v>
      </c>
      <c r="E75" s="5" t="s">
        <v>173</v>
      </c>
      <c r="F75" s="5" t="s">
        <v>215</v>
      </c>
      <c r="G75" s="5" t="s">
        <v>41</v>
      </c>
      <c r="H75" s="5" t="s">
        <v>30</v>
      </c>
      <c r="I75" s="5" t="s">
        <v>415</v>
      </c>
      <c r="J75" s="5" t="s">
        <v>32</v>
      </c>
      <c r="K75" s="5" t="s">
        <v>32</v>
      </c>
      <c r="L75" s="5" t="s">
        <v>32</v>
      </c>
      <c r="M75" s="5" t="s">
        <v>32</v>
      </c>
      <c r="N75" s="5" t="s">
        <v>416</v>
      </c>
      <c r="O75" s="5" t="s">
        <v>32</v>
      </c>
      <c r="P75" s="5" t="s">
        <v>175</v>
      </c>
      <c r="Q75" s="5" t="s">
        <v>219</v>
      </c>
      <c r="R75" s="5" t="s">
        <v>35</v>
      </c>
      <c r="S75" s="5" t="s">
        <v>32</v>
      </c>
      <c r="T75" s="5" t="s">
        <v>32</v>
      </c>
      <c r="U75" s="5" t="s">
        <v>32</v>
      </c>
      <c r="V75" s="8">
        <v>40000</v>
      </c>
      <c r="W75" s="5" t="s">
        <v>220</v>
      </c>
      <c r="X75" s="5" t="s">
        <v>417</v>
      </c>
    </row>
    <row r="76" spans="1:24" s="4" customFormat="1" x14ac:dyDescent="0.25">
      <c r="A76" s="5">
        <v>75</v>
      </c>
      <c r="B76" s="11" t="s">
        <v>299</v>
      </c>
      <c r="C76" s="5" t="s">
        <v>418</v>
      </c>
      <c r="D76" s="7" t="s">
        <v>26</v>
      </c>
      <c r="E76" s="5" t="s">
        <v>252</v>
      </c>
      <c r="F76" s="5" t="s">
        <v>253</v>
      </c>
      <c r="G76" s="5" t="s">
        <v>29</v>
      </c>
      <c r="H76" s="5" t="s">
        <v>30</v>
      </c>
      <c r="I76" s="5" t="s">
        <v>32</v>
      </c>
      <c r="J76" s="5" t="s">
        <v>32</v>
      </c>
      <c r="K76" s="5" t="s">
        <v>32</v>
      </c>
      <c r="L76" s="5" t="s">
        <v>32</v>
      </c>
      <c r="M76" s="5" t="s">
        <v>419</v>
      </c>
      <c r="N76" s="5" t="s">
        <v>32</v>
      </c>
      <c r="O76" s="5" t="s">
        <v>32</v>
      </c>
      <c r="P76" s="5" t="s">
        <v>256</v>
      </c>
      <c r="Q76" s="5" t="s">
        <v>65</v>
      </c>
      <c r="R76" s="5" t="s">
        <v>35</v>
      </c>
      <c r="S76" s="5" t="s">
        <v>32</v>
      </c>
      <c r="T76" s="5" t="s">
        <v>32</v>
      </c>
      <c r="U76" s="5" t="s">
        <v>32</v>
      </c>
      <c r="V76" s="8">
        <v>50000</v>
      </c>
      <c r="W76" s="5" t="s">
        <v>36</v>
      </c>
      <c r="X76" s="5" t="s">
        <v>32</v>
      </c>
    </row>
    <row r="77" spans="1:24" s="4" customFormat="1" x14ac:dyDescent="0.25">
      <c r="A77" s="5">
        <v>76</v>
      </c>
      <c r="B77" s="11" t="s">
        <v>299</v>
      </c>
      <c r="C77" s="5" t="s">
        <v>420</v>
      </c>
      <c r="D77" s="7" t="s">
        <v>26</v>
      </c>
      <c r="E77" s="5" t="s">
        <v>252</v>
      </c>
      <c r="F77" s="5" t="s">
        <v>253</v>
      </c>
      <c r="G77" s="5" t="s">
        <v>29</v>
      </c>
      <c r="H77" s="5" t="s">
        <v>140</v>
      </c>
      <c r="I77" s="5" t="s">
        <v>32</v>
      </c>
      <c r="J77" s="5" t="s">
        <v>32</v>
      </c>
      <c r="K77" s="5" t="s">
        <v>32</v>
      </c>
      <c r="L77" s="5" t="s">
        <v>32</v>
      </c>
      <c r="M77" s="5" t="s">
        <v>421</v>
      </c>
      <c r="N77" s="5" t="s">
        <v>32</v>
      </c>
      <c r="O77" s="5" t="s">
        <v>32</v>
      </c>
      <c r="P77" s="5" t="s">
        <v>256</v>
      </c>
      <c r="Q77" s="5" t="s">
        <v>65</v>
      </c>
      <c r="R77" s="5" t="s">
        <v>35</v>
      </c>
      <c r="S77" s="5" t="s">
        <v>32</v>
      </c>
      <c r="T77" s="5" t="s">
        <v>32</v>
      </c>
      <c r="U77" s="5" t="s">
        <v>32</v>
      </c>
      <c r="V77" s="8">
        <v>50000</v>
      </c>
      <c r="W77" s="5" t="s">
        <v>36</v>
      </c>
      <c r="X77" s="5" t="s">
        <v>422</v>
      </c>
    </row>
    <row r="78" spans="1:24" s="4" customFormat="1" x14ac:dyDescent="0.25">
      <c r="A78" s="5">
        <v>77</v>
      </c>
      <c r="B78" s="11" t="s">
        <v>299</v>
      </c>
      <c r="C78" s="5" t="s">
        <v>423</v>
      </c>
      <c r="D78" s="7" t="s">
        <v>26</v>
      </c>
      <c r="E78" s="5" t="s">
        <v>252</v>
      </c>
      <c r="F78" s="5" t="s">
        <v>253</v>
      </c>
      <c r="G78" s="5" t="s">
        <v>29</v>
      </c>
      <c r="H78" s="5" t="s">
        <v>140</v>
      </c>
      <c r="I78" s="5" t="s">
        <v>424</v>
      </c>
      <c r="J78" s="5" t="s">
        <v>32</v>
      </c>
      <c r="K78" s="5" t="s">
        <v>32</v>
      </c>
      <c r="L78" s="5" t="s">
        <v>32</v>
      </c>
      <c r="M78" s="5" t="s">
        <v>425</v>
      </c>
      <c r="N78" s="5" t="s">
        <v>32</v>
      </c>
      <c r="O78" s="5" t="s">
        <v>32</v>
      </c>
      <c r="P78" s="5" t="s">
        <v>256</v>
      </c>
      <c r="Q78" s="5" t="s">
        <v>65</v>
      </c>
      <c r="R78" s="5" t="s">
        <v>35</v>
      </c>
      <c r="S78" s="5" t="s">
        <v>32</v>
      </c>
      <c r="T78" s="5" t="s">
        <v>32</v>
      </c>
      <c r="U78" s="5" t="s">
        <v>32</v>
      </c>
      <c r="V78" s="8">
        <v>50000</v>
      </c>
      <c r="W78" s="5" t="s">
        <v>36</v>
      </c>
      <c r="X78" s="5" t="s">
        <v>426</v>
      </c>
    </row>
    <row r="79" spans="1:24" s="4" customFormat="1" x14ac:dyDescent="0.25">
      <c r="A79" s="5">
        <v>78</v>
      </c>
      <c r="B79" s="11" t="s">
        <v>299</v>
      </c>
      <c r="C79" s="5" t="s">
        <v>427</v>
      </c>
      <c r="D79" s="7" t="s">
        <v>26</v>
      </c>
      <c r="E79" s="5" t="s">
        <v>252</v>
      </c>
      <c r="F79" s="5" t="s">
        <v>253</v>
      </c>
      <c r="G79" s="5" t="s">
        <v>29</v>
      </c>
      <c r="H79" s="5" t="s">
        <v>140</v>
      </c>
      <c r="I79" s="5" t="s">
        <v>32</v>
      </c>
      <c r="J79" s="5" t="s">
        <v>32</v>
      </c>
      <c r="K79" s="5" t="s">
        <v>32</v>
      </c>
      <c r="L79" s="5" t="s">
        <v>32</v>
      </c>
      <c r="M79" s="5" t="s">
        <v>428</v>
      </c>
      <c r="N79" s="5" t="s">
        <v>32</v>
      </c>
      <c r="O79" s="5" t="s">
        <v>32</v>
      </c>
      <c r="P79" s="5" t="s">
        <v>261</v>
      </c>
      <c r="Q79" s="5" t="s">
        <v>65</v>
      </c>
      <c r="R79" s="5" t="s">
        <v>35</v>
      </c>
      <c r="S79" s="5" t="s">
        <v>32</v>
      </c>
      <c r="T79" s="5" t="s">
        <v>32</v>
      </c>
      <c r="U79" s="5" t="s">
        <v>32</v>
      </c>
      <c r="V79" s="8">
        <v>50000</v>
      </c>
      <c r="W79" s="5" t="s">
        <v>36</v>
      </c>
      <c r="X79" s="5" t="s">
        <v>422</v>
      </c>
    </row>
    <row r="80" spans="1:24" s="4" customFormat="1" x14ac:dyDescent="0.25">
      <c r="A80" s="5">
        <v>79</v>
      </c>
      <c r="B80" s="11" t="s">
        <v>299</v>
      </c>
      <c r="C80" s="5" t="s">
        <v>429</v>
      </c>
      <c r="D80" s="7" t="s">
        <v>26</v>
      </c>
      <c r="E80" s="5" t="s">
        <v>252</v>
      </c>
      <c r="F80" s="5" t="s">
        <v>253</v>
      </c>
      <c r="G80" s="5" t="s">
        <v>29</v>
      </c>
      <c r="H80" s="5" t="s">
        <v>30</v>
      </c>
      <c r="I80" s="5" t="s">
        <v>32</v>
      </c>
      <c r="J80" s="5" t="s">
        <v>32</v>
      </c>
      <c r="K80" s="5" t="s">
        <v>32</v>
      </c>
      <c r="L80" s="5" t="s">
        <v>32</v>
      </c>
      <c r="M80" s="5" t="s">
        <v>430</v>
      </c>
      <c r="N80" s="5" t="s">
        <v>32</v>
      </c>
      <c r="O80" s="5" t="s">
        <v>32</v>
      </c>
      <c r="P80" s="5" t="s">
        <v>256</v>
      </c>
      <c r="Q80" s="5" t="s">
        <v>65</v>
      </c>
      <c r="R80" s="5" t="s">
        <v>35</v>
      </c>
      <c r="S80" s="5" t="s">
        <v>32</v>
      </c>
      <c r="T80" s="5" t="s">
        <v>32</v>
      </c>
      <c r="U80" s="5" t="s">
        <v>32</v>
      </c>
      <c r="V80" s="8">
        <v>50000</v>
      </c>
      <c r="W80" s="5" t="s">
        <v>36</v>
      </c>
      <c r="X80" s="5" t="s">
        <v>32</v>
      </c>
    </row>
    <row r="81" spans="1:24" s="4" customFormat="1" x14ac:dyDescent="0.25">
      <c r="A81" s="5">
        <v>80</v>
      </c>
      <c r="B81" s="11" t="s">
        <v>299</v>
      </c>
      <c r="C81" s="5" t="s">
        <v>431</v>
      </c>
      <c r="D81" s="7" t="s">
        <v>26</v>
      </c>
      <c r="E81" s="5" t="s">
        <v>252</v>
      </c>
      <c r="F81" s="5" t="s">
        <v>253</v>
      </c>
      <c r="G81" s="5" t="s">
        <v>55</v>
      </c>
      <c r="H81" s="5" t="s">
        <v>140</v>
      </c>
      <c r="I81" s="5" t="s">
        <v>32</v>
      </c>
      <c r="J81" s="5" t="s">
        <v>32</v>
      </c>
      <c r="K81" s="5" t="s">
        <v>32</v>
      </c>
      <c r="L81" s="5" t="s">
        <v>32</v>
      </c>
      <c r="M81" s="5" t="s">
        <v>432</v>
      </c>
      <c r="N81" s="5" t="s">
        <v>32</v>
      </c>
      <c r="O81" s="5" t="s">
        <v>32</v>
      </c>
      <c r="P81" s="5" t="s">
        <v>261</v>
      </c>
      <c r="Q81" s="5" t="s">
        <v>65</v>
      </c>
      <c r="R81" s="5" t="s">
        <v>35</v>
      </c>
      <c r="S81" s="5" t="s">
        <v>32</v>
      </c>
      <c r="T81" s="5" t="s">
        <v>32</v>
      </c>
      <c r="U81" s="5" t="s">
        <v>32</v>
      </c>
      <c r="V81" s="8">
        <v>50000</v>
      </c>
      <c r="W81" s="5" t="s">
        <v>36</v>
      </c>
      <c r="X81" s="5" t="s">
        <v>422</v>
      </c>
    </row>
    <row r="82" spans="1:24" s="4" customFormat="1" x14ac:dyDescent="0.25">
      <c r="A82" s="5">
        <v>81</v>
      </c>
      <c r="B82" s="11" t="s">
        <v>299</v>
      </c>
      <c r="C82" s="5" t="s">
        <v>433</v>
      </c>
      <c r="D82" s="7" t="s">
        <v>26</v>
      </c>
      <c r="E82" s="5" t="s">
        <v>434</v>
      </c>
      <c r="F82" s="5" t="s">
        <v>253</v>
      </c>
      <c r="G82" s="5" t="s">
        <v>29</v>
      </c>
      <c r="H82" s="5" t="s">
        <v>140</v>
      </c>
      <c r="I82" s="5" t="s">
        <v>435</v>
      </c>
      <c r="J82" s="5" t="s">
        <v>32</v>
      </c>
      <c r="K82" s="5" t="s">
        <v>32</v>
      </c>
      <c r="L82" s="5" t="s">
        <v>32</v>
      </c>
      <c r="M82" s="5" t="s">
        <v>32</v>
      </c>
      <c r="N82" s="5" t="s">
        <v>32</v>
      </c>
      <c r="O82" s="5" t="s">
        <v>32</v>
      </c>
      <c r="P82" s="5" t="s">
        <v>256</v>
      </c>
      <c r="Q82" s="5" t="s">
        <v>65</v>
      </c>
      <c r="R82" s="5" t="s">
        <v>35</v>
      </c>
      <c r="S82" s="5" t="s">
        <v>32</v>
      </c>
      <c r="T82" s="5" t="s">
        <v>32</v>
      </c>
      <c r="U82" s="5" t="s">
        <v>32</v>
      </c>
      <c r="V82" s="8">
        <v>50000</v>
      </c>
      <c r="W82" s="5" t="s">
        <v>36</v>
      </c>
      <c r="X82" s="5" t="s">
        <v>436</v>
      </c>
    </row>
    <row r="83" spans="1:24" s="4" customFormat="1" x14ac:dyDescent="0.25">
      <c r="A83" s="5">
        <v>82</v>
      </c>
      <c r="B83" s="11" t="s">
        <v>299</v>
      </c>
      <c r="C83" s="5" t="s">
        <v>437</v>
      </c>
      <c r="D83" s="7" t="s">
        <v>26</v>
      </c>
      <c r="E83" s="5" t="s">
        <v>146</v>
      </c>
      <c r="F83" s="5" t="s">
        <v>272</v>
      </c>
      <c r="G83" s="5" t="s">
        <v>166</v>
      </c>
      <c r="H83" s="5" t="s">
        <v>30</v>
      </c>
      <c r="I83" s="5" t="s">
        <v>438</v>
      </c>
      <c r="J83" s="5" t="s">
        <v>32</v>
      </c>
      <c r="K83" s="5" t="s">
        <v>32</v>
      </c>
      <c r="L83" s="5" t="s">
        <v>32</v>
      </c>
      <c r="M83" s="5" t="s">
        <v>439</v>
      </c>
      <c r="N83" s="5" t="s">
        <v>32</v>
      </c>
      <c r="O83" s="5" t="s">
        <v>32</v>
      </c>
      <c r="P83" s="5" t="s">
        <v>75</v>
      </c>
      <c r="Q83" s="5" t="s">
        <v>162</v>
      </c>
      <c r="R83" s="5" t="s">
        <v>35</v>
      </c>
      <c r="S83" s="5" t="s">
        <v>32</v>
      </c>
      <c r="T83" s="5" t="s">
        <v>32</v>
      </c>
      <c r="U83" s="5" t="s">
        <v>32</v>
      </c>
      <c r="V83" s="8">
        <v>100000</v>
      </c>
      <c r="W83" s="5" t="s">
        <v>439</v>
      </c>
      <c r="X83" s="5" t="s">
        <v>32</v>
      </c>
    </row>
    <row r="84" spans="1:24" s="4" customFormat="1" x14ac:dyDescent="0.25">
      <c r="A84" s="5">
        <v>83</v>
      </c>
      <c r="B84" s="11" t="s">
        <v>299</v>
      </c>
      <c r="C84" s="5" t="s">
        <v>440</v>
      </c>
      <c r="D84" s="9" t="s">
        <v>279</v>
      </c>
      <c r="E84" s="5" t="s">
        <v>441</v>
      </c>
      <c r="F84" s="5" t="s">
        <v>442</v>
      </c>
      <c r="G84" s="5" t="s">
        <v>41</v>
      </c>
      <c r="H84" s="5" t="s">
        <v>140</v>
      </c>
      <c r="I84" s="5" t="s">
        <v>443</v>
      </c>
      <c r="J84" s="5" t="s">
        <v>32</v>
      </c>
      <c r="K84" s="5" t="s">
        <v>32</v>
      </c>
      <c r="L84" s="5" t="s">
        <v>32</v>
      </c>
      <c r="M84" s="5" t="s">
        <v>444</v>
      </c>
      <c r="N84" s="5" t="s">
        <v>32</v>
      </c>
      <c r="O84" s="5" t="s">
        <v>32</v>
      </c>
      <c r="P84" s="5" t="s">
        <v>276</v>
      </c>
      <c r="Q84" s="5" t="s">
        <v>286</v>
      </c>
      <c r="R84" s="5" t="s">
        <v>35</v>
      </c>
      <c r="S84" s="5" t="s">
        <v>32</v>
      </c>
      <c r="T84" s="5" t="s">
        <v>32</v>
      </c>
      <c r="U84" s="5" t="s">
        <v>32</v>
      </c>
      <c r="V84" s="8">
        <v>150000</v>
      </c>
      <c r="W84" s="5" t="s">
        <v>445</v>
      </c>
      <c r="X84" s="5" t="s">
        <v>446</v>
      </c>
    </row>
    <row r="85" spans="1:24" s="4" customFormat="1" x14ac:dyDescent="0.25">
      <c r="A85" s="5">
        <v>84</v>
      </c>
      <c r="B85" s="11" t="s">
        <v>299</v>
      </c>
      <c r="C85" s="5" t="s">
        <v>447</v>
      </c>
      <c r="D85" s="9" t="s">
        <v>279</v>
      </c>
      <c r="E85" s="5" t="s">
        <v>448</v>
      </c>
      <c r="F85" s="5" t="s">
        <v>158</v>
      </c>
      <c r="G85" s="5" t="s">
        <v>49</v>
      </c>
      <c r="H85" s="5" t="s">
        <v>56</v>
      </c>
      <c r="I85" s="5" t="s">
        <v>449</v>
      </c>
      <c r="J85" s="5" t="s">
        <v>32</v>
      </c>
      <c r="K85" s="5" t="s">
        <v>32</v>
      </c>
      <c r="L85" s="5" t="s">
        <v>32</v>
      </c>
      <c r="M85" s="5" t="s">
        <v>450</v>
      </c>
      <c r="N85" s="5" t="s">
        <v>32</v>
      </c>
      <c r="O85" s="5" t="s">
        <v>32</v>
      </c>
      <c r="P85" s="5" t="s">
        <v>161</v>
      </c>
      <c r="Q85" s="5" t="s">
        <v>286</v>
      </c>
      <c r="R85" s="5" t="s">
        <v>35</v>
      </c>
      <c r="S85" s="5" t="s">
        <v>32</v>
      </c>
      <c r="T85" s="5" t="s">
        <v>32</v>
      </c>
      <c r="U85" s="5" t="s">
        <v>32</v>
      </c>
      <c r="V85" s="8">
        <v>90000</v>
      </c>
      <c r="W85" s="5" t="s">
        <v>451</v>
      </c>
      <c r="X85" s="5" t="s">
        <v>452</v>
      </c>
    </row>
    <row r="86" spans="1:24" s="4" customFormat="1" x14ac:dyDescent="0.25">
      <c r="A86" s="5">
        <v>85</v>
      </c>
      <c r="B86" s="11" t="s">
        <v>299</v>
      </c>
      <c r="C86" s="5" t="s">
        <v>453</v>
      </c>
      <c r="D86" s="9" t="s">
        <v>279</v>
      </c>
      <c r="E86" s="5" t="s">
        <v>441</v>
      </c>
      <c r="F86" s="5" t="s">
        <v>158</v>
      </c>
      <c r="G86" s="5" t="s">
        <v>49</v>
      </c>
      <c r="H86" s="5" t="s">
        <v>140</v>
      </c>
      <c r="I86" s="5" t="s">
        <v>454</v>
      </c>
      <c r="J86" s="5" t="s">
        <v>32</v>
      </c>
      <c r="K86" s="5" t="s">
        <v>32</v>
      </c>
      <c r="L86" s="5" t="s">
        <v>32</v>
      </c>
      <c r="M86" s="5" t="s">
        <v>455</v>
      </c>
      <c r="N86" s="5" t="s">
        <v>32</v>
      </c>
      <c r="O86" s="5" t="s">
        <v>32</v>
      </c>
      <c r="P86" s="5" t="s">
        <v>456</v>
      </c>
      <c r="Q86" s="5" t="s">
        <v>286</v>
      </c>
      <c r="R86" s="5" t="s">
        <v>35</v>
      </c>
      <c r="S86" s="5" t="s">
        <v>32</v>
      </c>
      <c r="T86" s="5" t="s">
        <v>32</v>
      </c>
      <c r="U86" s="5" t="s">
        <v>32</v>
      </c>
      <c r="V86" s="8">
        <v>80000</v>
      </c>
      <c r="W86" s="5" t="s">
        <v>457</v>
      </c>
      <c r="X86" s="5" t="s">
        <v>458</v>
      </c>
    </row>
    <row r="87" spans="1:24" s="4" customFormat="1" x14ac:dyDescent="0.25">
      <c r="A87" s="5">
        <v>86</v>
      </c>
      <c r="B87" s="11" t="s">
        <v>299</v>
      </c>
      <c r="C87" s="5" t="s">
        <v>459</v>
      </c>
      <c r="D87" s="9" t="s">
        <v>279</v>
      </c>
      <c r="E87" s="5" t="s">
        <v>460</v>
      </c>
      <c r="F87" s="5" t="s">
        <v>253</v>
      </c>
      <c r="G87" s="5" t="s">
        <v>179</v>
      </c>
      <c r="H87" s="5" t="s">
        <v>56</v>
      </c>
      <c r="I87" s="5" t="s">
        <v>461</v>
      </c>
      <c r="J87" s="5" t="s">
        <v>32</v>
      </c>
      <c r="K87" s="5" t="s">
        <v>32</v>
      </c>
      <c r="L87" s="5" t="s">
        <v>32</v>
      </c>
      <c r="M87" s="5" t="s">
        <v>98</v>
      </c>
      <c r="N87" s="5" t="s">
        <v>283</v>
      </c>
      <c r="O87" s="5" t="s">
        <v>284</v>
      </c>
      <c r="P87" s="5" t="s">
        <v>462</v>
      </c>
      <c r="Q87" s="5" t="s">
        <v>286</v>
      </c>
      <c r="R87" s="5" t="s">
        <v>35</v>
      </c>
      <c r="S87" s="5" t="s">
        <v>32</v>
      </c>
      <c r="T87" s="5" t="s">
        <v>32</v>
      </c>
      <c r="U87" s="5" t="s">
        <v>32</v>
      </c>
      <c r="V87" s="8">
        <v>80000</v>
      </c>
      <c r="W87" s="5" t="s">
        <v>463</v>
      </c>
      <c r="X87" s="5" t="s">
        <v>464</v>
      </c>
    </row>
    <row r="88" spans="1:24" s="4" customFormat="1" x14ac:dyDescent="0.25">
      <c r="A88" s="5">
        <v>87</v>
      </c>
      <c r="B88" s="11" t="s">
        <v>299</v>
      </c>
      <c r="C88" s="5" t="s">
        <v>465</v>
      </c>
      <c r="D88" s="12" t="s">
        <v>466</v>
      </c>
      <c r="E88" s="5" t="s">
        <v>467</v>
      </c>
      <c r="F88" s="5" t="s">
        <v>158</v>
      </c>
      <c r="G88" s="5" t="s">
        <v>41</v>
      </c>
      <c r="H88" s="5" t="s">
        <v>30</v>
      </c>
      <c r="I88" s="5" t="s">
        <v>159</v>
      </c>
      <c r="J88" s="5" t="s">
        <v>32</v>
      </c>
      <c r="K88" s="5" t="s">
        <v>32</v>
      </c>
      <c r="L88" s="5" t="s">
        <v>32</v>
      </c>
      <c r="M88" s="5" t="s">
        <v>352</v>
      </c>
      <c r="N88" s="5" t="s">
        <v>32</v>
      </c>
      <c r="O88" s="5" t="s">
        <v>32</v>
      </c>
      <c r="P88" s="5" t="s">
        <v>175</v>
      </c>
      <c r="Q88" s="5" t="s">
        <v>468</v>
      </c>
      <c r="R88" s="5" t="s">
        <v>35</v>
      </c>
      <c r="S88" s="5" t="s">
        <v>32</v>
      </c>
      <c r="T88" s="5" t="s">
        <v>32</v>
      </c>
      <c r="U88" s="5" t="s">
        <v>32</v>
      </c>
      <c r="V88" s="8">
        <v>60000</v>
      </c>
      <c r="W88" s="5" t="s">
        <v>352</v>
      </c>
      <c r="X88" s="5" t="s">
        <v>469</v>
      </c>
    </row>
    <row r="89" spans="1:24" s="4" customFormat="1" x14ac:dyDescent="0.25">
      <c r="A89" s="5">
        <v>88</v>
      </c>
      <c r="B89" s="11" t="s">
        <v>299</v>
      </c>
      <c r="C89" s="5" t="s">
        <v>470</v>
      </c>
      <c r="D89" s="10" t="s">
        <v>294</v>
      </c>
      <c r="E89" s="5" t="s">
        <v>471</v>
      </c>
      <c r="F89" s="5" t="s">
        <v>472</v>
      </c>
      <c r="G89" s="5" t="s">
        <v>41</v>
      </c>
      <c r="H89" s="5" t="s">
        <v>473</v>
      </c>
      <c r="I89" s="5" t="s">
        <v>474</v>
      </c>
      <c r="J89" s="5" t="s">
        <v>32</v>
      </c>
      <c r="K89" s="5" t="s">
        <v>32</v>
      </c>
      <c r="L89" s="5" t="s">
        <v>32</v>
      </c>
      <c r="M89" s="5" t="s">
        <v>32</v>
      </c>
      <c r="N89" s="5" t="s">
        <v>32</v>
      </c>
      <c r="O89" s="5" t="s">
        <v>32</v>
      </c>
      <c r="P89" s="5" t="s">
        <v>475</v>
      </c>
      <c r="Q89" s="5" t="s">
        <v>476</v>
      </c>
      <c r="R89" s="5" t="s">
        <v>35</v>
      </c>
      <c r="S89" s="5" t="s">
        <v>32</v>
      </c>
      <c r="T89" s="5" t="s">
        <v>32</v>
      </c>
      <c r="U89" s="5" t="s">
        <v>32</v>
      </c>
      <c r="V89" s="8">
        <v>0</v>
      </c>
      <c r="W89" s="5" t="s">
        <v>477</v>
      </c>
      <c r="X89" s="5" t="s">
        <v>478</v>
      </c>
    </row>
    <row r="90" spans="1:24" s="4" customFormat="1" x14ac:dyDescent="0.25">
      <c r="A90" s="5">
        <v>89</v>
      </c>
      <c r="B90" s="11" t="s">
        <v>299</v>
      </c>
      <c r="C90" s="5" t="s">
        <v>479</v>
      </c>
      <c r="D90" s="10" t="s">
        <v>294</v>
      </c>
      <c r="E90" s="5" t="s">
        <v>471</v>
      </c>
      <c r="F90" s="5" t="s">
        <v>472</v>
      </c>
      <c r="G90" s="5" t="s">
        <v>29</v>
      </c>
      <c r="H90" s="5" t="s">
        <v>56</v>
      </c>
      <c r="I90" s="5" t="s">
        <v>480</v>
      </c>
      <c r="J90" s="5" t="s">
        <v>32</v>
      </c>
      <c r="K90" s="5" t="s">
        <v>32</v>
      </c>
      <c r="L90" s="5" t="s">
        <v>32</v>
      </c>
      <c r="M90" s="5" t="s">
        <v>481</v>
      </c>
      <c r="N90" s="5" t="s">
        <v>32</v>
      </c>
      <c r="O90" s="5" t="s">
        <v>32</v>
      </c>
      <c r="P90" s="5" t="s">
        <v>482</v>
      </c>
      <c r="Q90" s="5" t="s">
        <v>476</v>
      </c>
      <c r="R90" s="5" t="s">
        <v>35</v>
      </c>
      <c r="S90" s="5" t="s">
        <v>32</v>
      </c>
      <c r="T90" s="5" t="s">
        <v>32</v>
      </c>
      <c r="U90" s="5" t="s">
        <v>32</v>
      </c>
      <c r="V90" s="8">
        <v>0</v>
      </c>
      <c r="W90" s="5" t="s">
        <v>36</v>
      </c>
      <c r="X90" s="5" t="s">
        <v>483</v>
      </c>
    </row>
    <row r="91" spans="1:24" s="4" customFormat="1" x14ac:dyDescent="0.25">
      <c r="A91" s="5">
        <v>90</v>
      </c>
      <c r="B91" s="11" t="s">
        <v>299</v>
      </c>
      <c r="C91" s="5" t="s">
        <v>484</v>
      </c>
      <c r="D91" s="10" t="s">
        <v>294</v>
      </c>
      <c r="E91" s="5" t="s">
        <v>471</v>
      </c>
      <c r="F91" s="5" t="s">
        <v>472</v>
      </c>
      <c r="G91" s="5" t="s">
        <v>29</v>
      </c>
      <c r="H91" s="5" t="s">
        <v>119</v>
      </c>
      <c r="I91" s="5" t="s">
        <v>485</v>
      </c>
      <c r="J91" s="5" t="s">
        <v>32</v>
      </c>
      <c r="K91" s="5" t="s">
        <v>32</v>
      </c>
      <c r="L91" s="5" t="s">
        <v>32</v>
      </c>
      <c r="M91" s="5" t="s">
        <v>220</v>
      </c>
      <c r="N91" s="5" t="s">
        <v>32</v>
      </c>
      <c r="O91" s="5" t="s">
        <v>32</v>
      </c>
      <c r="P91" s="5" t="s">
        <v>482</v>
      </c>
      <c r="Q91" s="5" t="s">
        <v>476</v>
      </c>
      <c r="R91" s="5" t="s">
        <v>35</v>
      </c>
      <c r="S91" s="5" t="s">
        <v>32</v>
      </c>
      <c r="T91" s="5" t="s">
        <v>32</v>
      </c>
      <c r="U91" s="5" t="s">
        <v>32</v>
      </c>
      <c r="V91" s="8">
        <v>0</v>
      </c>
      <c r="W91" s="5" t="s">
        <v>220</v>
      </c>
      <c r="X91" s="5" t="s">
        <v>486</v>
      </c>
    </row>
    <row r="92" spans="1:24" s="4" customFormat="1" x14ac:dyDescent="0.25">
      <c r="A92" s="5">
        <v>91</v>
      </c>
      <c r="B92" s="13" t="s">
        <v>487</v>
      </c>
      <c r="C92" s="5" t="s">
        <v>488</v>
      </c>
      <c r="D92" s="7" t="s">
        <v>26</v>
      </c>
      <c r="E92" s="5" t="s">
        <v>48</v>
      </c>
      <c r="F92" s="5" t="s">
        <v>40</v>
      </c>
      <c r="G92" s="5" t="s">
        <v>49</v>
      </c>
      <c r="H92" s="5" t="s">
        <v>30</v>
      </c>
      <c r="I92" s="5" t="s">
        <v>32</v>
      </c>
      <c r="J92" s="5" t="s">
        <v>32</v>
      </c>
      <c r="K92" s="5" t="s">
        <v>489</v>
      </c>
      <c r="L92" s="5" t="s">
        <v>32</v>
      </c>
      <c r="M92" s="5" t="s">
        <v>32</v>
      </c>
      <c r="N92" s="5" t="s">
        <v>32</v>
      </c>
      <c r="O92" s="5" t="s">
        <v>32</v>
      </c>
      <c r="P92" s="5" t="s">
        <v>44</v>
      </c>
      <c r="Q92" s="5" t="s">
        <v>45</v>
      </c>
      <c r="R92" s="5" t="s">
        <v>35</v>
      </c>
      <c r="S92" s="5" t="s">
        <v>32</v>
      </c>
      <c r="T92" s="5" t="s">
        <v>32</v>
      </c>
      <c r="U92" s="5" t="s">
        <v>32</v>
      </c>
      <c r="V92" s="8">
        <v>30000</v>
      </c>
      <c r="W92" s="5" t="s">
        <v>51</v>
      </c>
      <c r="X92" s="5" t="s">
        <v>32</v>
      </c>
    </row>
    <row r="93" spans="1:24" s="4" customFormat="1" x14ac:dyDescent="0.25">
      <c r="A93" s="5">
        <v>92</v>
      </c>
      <c r="B93" s="13" t="s">
        <v>487</v>
      </c>
      <c r="C93" s="5" t="s">
        <v>490</v>
      </c>
      <c r="D93" s="7" t="s">
        <v>26</v>
      </c>
      <c r="E93" s="5" t="s">
        <v>80</v>
      </c>
      <c r="F93" s="5" t="s">
        <v>81</v>
      </c>
      <c r="G93" s="5" t="s">
        <v>179</v>
      </c>
      <c r="H93" s="5" t="s">
        <v>30</v>
      </c>
      <c r="I93" s="5" t="s">
        <v>491</v>
      </c>
      <c r="J93" s="5" t="s">
        <v>32</v>
      </c>
      <c r="K93" s="5" t="s">
        <v>32</v>
      </c>
      <c r="L93" s="5" t="s">
        <v>32</v>
      </c>
      <c r="M93" s="5" t="s">
        <v>32</v>
      </c>
      <c r="N93" s="5" t="s">
        <v>32</v>
      </c>
      <c r="O93" s="5" t="s">
        <v>32</v>
      </c>
      <c r="P93" s="5" t="s">
        <v>302</v>
      </c>
      <c r="Q93" s="5" t="s">
        <v>34</v>
      </c>
      <c r="R93" s="5" t="s">
        <v>35</v>
      </c>
      <c r="S93" s="5" t="s">
        <v>32</v>
      </c>
      <c r="T93" s="5" t="s">
        <v>32</v>
      </c>
      <c r="U93" s="5" t="s">
        <v>32</v>
      </c>
      <c r="V93" s="8">
        <v>300000</v>
      </c>
      <c r="W93" s="5" t="s">
        <v>98</v>
      </c>
      <c r="X93" s="5" t="s">
        <v>492</v>
      </c>
    </row>
    <row r="94" spans="1:24" s="4" customFormat="1" x14ac:dyDescent="0.25">
      <c r="A94" s="5">
        <v>93</v>
      </c>
      <c r="B94" s="13" t="s">
        <v>487</v>
      </c>
      <c r="C94" s="5" t="s">
        <v>493</v>
      </c>
      <c r="D94" s="7" t="s">
        <v>26</v>
      </c>
      <c r="E94" s="5" t="s">
        <v>494</v>
      </c>
      <c r="F94" s="5" t="s">
        <v>191</v>
      </c>
      <c r="G94" s="5" t="s">
        <v>29</v>
      </c>
      <c r="H94" s="5" t="s">
        <v>140</v>
      </c>
      <c r="I94" s="5" t="s">
        <v>495</v>
      </c>
      <c r="J94" s="5" t="s">
        <v>32</v>
      </c>
      <c r="K94" s="5" t="s">
        <v>32</v>
      </c>
      <c r="L94" s="5" t="s">
        <v>32</v>
      </c>
      <c r="M94" s="5" t="s">
        <v>496</v>
      </c>
      <c r="N94" s="5" t="s">
        <v>32</v>
      </c>
      <c r="O94" s="5" t="s">
        <v>32</v>
      </c>
      <c r="P94" s="5" t="s">
        <v>276</v>
      </c>
      <c r="Q94" s="5" t="s">
        <v>76</v>
      </c>
      <c r="R94" s="5" t="s">
        <v>35</v>
      </c>
      <c r="S94" s="5" t="s">
        <v>32</v>
      </c>
      <c r="T94" s="5" t="s">
        <v>32</v>
      </c>
      <c r="U94" s="5" t="s">
        <v>32</v>
      </c>
      <c r="V94" s="8">
        <v>120000</v>
      </c>
      <c r="W94" s="5" t="s">
        <v>497</v>
      </c>
      <c r="X94" s="5" t="s">
        <v>32</v>
      </c>
    </row>
    <row r="95" spans="1:24" s="4" customFormat="1" x14ac:dyDescent="0.25">
      <c r="A95" s="5">
        <v>94</v>
      </c>
      <c r="B95" s="13" t="s">
        <v>487</v>
      </c>
      <c r="C95" s="5" t="s">
        <v>498</v>
      </c>
      <c r="D95" s="9" t="s">
        <v>279</v>
      </c>
      <c r="E95" s="5" t="s">
        <v>499</v>
      </c>
      <c r="F95" s="5" t="s">
        <v>158</v>
      </c>
      <c r="G95" s="5" t="s">
        <v>166</v>
      </c>
      <c r="H95" s="5" t="s">
        <v>500</v>
      </c>
      <c r="I95" s="5" t="s">
        <v>501</v>
      </c>
      <c r="J95" s="5" t="s">
        <v>32</v>
      </c>
      <c r="K95" s="5" t="s">
        <v>32</v>
      </c>
      <c r="L95" s="5" t="s">
        <v>32</v>
      </c>
      <c r="M95" s="5" t="s">
        <v>502</v>
      </c>
      <c r="N95" s="5" t="s">
        <v>32</v>
      </c>
      <c r="O95" s="5" t="s">
        <v>32</v>
      </c>
      <c r="P95" s="5" t="s">
        <v>276</v>
      </c>
      <c r="Q95" s="5" t="s">
        <v>286</v>
      </c>
      <c r="R95" s="5" t="s">
        <v>35</v>
      </c>
      <c r="S95" s="5" t="s">
        <v>32</v>
      </c>
      <c r="T95" s="5" t="s">
        <v>32</v>
      </c>
      <c r="U95" s="5" t="s">
        <v>32</v>
      </c>
      <c r="V95" s="8">
        <v>50000</v>
      </c>
      <c r="W95" s="5" t="s">
        <v>502</v>
      </c>
      <c r="X95" s="5" t="s">
        <v>503</v>
      </c>
    </row>
    <row r="96" spans="1:24" s="4" customFormat="1" x14ac:dyDescent="0.25">
      <c r="A96" s="5">
        <v>95</v>
      </c>
      <c r="B96" s="13" t="s">
        <v>487</v>
      </c>
      <c r="C96" s="5" t="s">
        <v>504</v>
      </c>
      <c r="D96" s="9" t="s">
        <v>279</v>
      </c>
      <c r="E96" s="5" t="s">
        <v>146</v>
      </c>
      <c r="F96" s="5" t="s">
        <v>158</v>
      </c>
      <c r="G96" s="5" t="s">
        <v>41</v>
      </c>
      <c r="H96" s="5" t="s">
        <v>140</v>
      </c>
      <c r="I96" s="5" t="s">
        <v>159</v>
      </c>
      <c r="J96" s="5" t="s">
        <v>32</v>
      </c>
      <c r="K96" s="5" t="s">
        <v>32</v>
      </c>
      <c r="L96" s="5" t="s">
        <v>32</v>
      </c>
      <c r="M96" s="5" t="s">
        <v>505</v>
      </c>
      <c r="N96" s="5" t="s">
        <v>32</v>
      </c>
      <c r="O96" s="5" t="s">
        <v>32</v>
      </c>
      <c r="P96" s="5" t="s">
        <v>276</v>
      </c>
      <c r="Q96" s="5" t="s">
        <v>286</v>
      </c>
      <c r="R96" s="5" t="s">
        <v>35</v>
      </c>
      <c r="S96" s="5" t="s">
        <v>32</v>
      </c>
      <c r="T96" s="5" t="s">
        <v>32</v>
      </c>
      <c r="U96" s="5" t="s">
        <v>32</v>
      </c>
      <c r="V96" s="8">
        <v>50000</v>
      </c>
      <c r="W96" s="5" t="s">
        <v>505</v>
      </c>
      <c r="X96" s="5" t="s">
        <v>32</v>
      </c>
    </row>
    <row r="97" spans="1:24" s="4" customFormat="1" x14ac:dyDescent="0.25">
      <c r="A97" s="5">
        <v>96</v>
      </c>
      <c r="B97" s="13" t="s">
        <v>487</v>
      </c>
      <c r="C97" s="5" t="s">
        <v>506</v>
      </c>
      <c r="D97" s="9" t="s">
        <v>279</v>
      </c>
      <c r="E97" s="5" t="s">
        <v>441</v>
      </c>
      <c r="F97" s="5" t="s">
        <v>158</v>
      </c>
      <c r="G97" s="5" t="s">
        <v>41</v>
      </c>
      <c r="H97" s="5" t="s">
        <v>140</v>
      </c>
      <c r="I97" s="5" t="s">
        <v>507</v>
      </c>
      <c r="J97" s="5" t="s">
        <v>32</v>
      </c>
      <c r="K97" s="5" t="s">
        <v>32</v>
      </c>
      <c r="L97" s="5" t="s">
        <v>32</v>
      </c>
      <c r="M97" s="5" t="s">
        <v>445</v>
      </c>
      <c r="N97" s="5" t="s">
        <v>32</v>
      </c>
      <c r="O97" s="5" t="s">
        <v>32</v>
      </c>
      <c r="P97" s="5" t="s">
        <v>508</v>
      </c>
      <c r="Q97" s="5" t="s">
        <v>286</v>
      </c>
      <c r="R97" s="5" t="s">
        <v>35</v>
      </c>
      <c r="S97" s="5" t="s">
        <v>32</v>
      </c>
      <c r="T97" s="5" t="s">
        <v>32</v>
      </c>
      <c r="U97" s="5" t="s">
        <v>32</v>
      </c>
      <c r="V97" s="8">
        <v>60000</v>
      </c>
      <c r="W97" s="5" t="s">
        <v>445</v>
      </c>
      <c r="X97" s="5" t="s">
        <v>509</v>
      </c>
    </row>
    <row r="98" spans="1:24" s="4" customFormat="1" x14ac:dyDescent="0.25">
      <c r="A98" s="5">
        <v>97</v>
      </c>
      <c r="B98" s="13" t="s">
        <v>487</v>
      </c>
      <c r="C98" s="5" t="s">
        <v>510</v>
      </c>
      <c r="D98" s="9" t="s">
        <v>279</v>
      </c>
      <c r="E98" s="5" t="s">
        <v>441</v>
      </c>
      <c r="F98" s="5" t="s">
        <v>253</v>
      </c>
      <c r="G98" s="5" t="s">
        <v>511</v>
      </c>
      <c r="H98" s="5" t="s">
        <v>140</v>
      </c>
      <c r="I98" s="5" t="s">
        <v>512</v>
      </c>
      <c r="J98" s="5" t="s">
        <v>32</v>
      </c>
      <c r="K98" s="5" t="s">
        <v>32</v>
      </c>
      <c r="L98" s="5" t="s">
        <v>32</v>
      </c>
      <c r="M98" s="5" t="s">
        <v>513</v>
      </c>
      <c r="N98" s="5" t="s">
        <v>32</v>
      </c>
      <c r="O98" s="5" t="s">
        <v>32</v>
      </c>
      <c r="P98" s="5" t="s">
        <v>276</v>
      </c>
      <c r="Q98" s="5" t="s">
        <v>286</v>
      </c>
      <c r="R98" s="5" t="s">
        <v>35</v>
      </c>
      <c r="S98" s="5" t="s">
        <v>32</v>
      </c>
      <c r="T98" s="5" t="s">
        <v>32</v>
      </c>
      <c r="U98" s="5" t="s">
        <v>32</v>
      </c>
      <c r="V98" s="8">
        <v>80000</v>
      </c>
      <c r="W98" s="5" t="s">
        <v>513</v>
      </c>
      <c r="X98" s="5" t="s">
        <v>514</v>
      </c>
    </row>
    <row r="99" spans="1:24" s="4" customFormat="1" x14ac:dyDescent="0.25">
      <c r="A99" s="5">
        <v>98</v>
      </c>
      <c r="B99" s="13" t="s">
        <v>487</v>
      </c>
      <c r="C99" s="5" t="s">
        <v>515</v>
      </c>
      <c r="D99" s="9" t="s">
        <v>279</v>
      </c>
      <c r="E99" s="5" t="s">
        <v>441</v>
      </c>
      <c r="F99" s="5" t="s">
        <v>253</v>
      </c>
      <c r="G99" s="5" t="s">
        <v>166</v>
      </c>
      <c r="H99" s="5" t="s">
        <v>140</v>
      </c>
      <c r="I99" s="5" t="s">
        <v>516</v>
      </c>
      <c r="J99" s="5" t="s">
        <v>32</v>
      </c>
      <c r="K99" s="5" t="s">
        <v>32</v>
      </c>
      <c r="L99" s="5" t="s">
        <v>32</v>
      </c>
      <c r="M99" s="5" t="s">
        <v>517</v>
      </c>
      <c r="N99" s="5" t="s">
        <v>32</v>
      </c>
      <c r="O99" s="5" t="s">
        <v>32</v>
      </c>
      <c r="P99" s="5" t="s">
        <v>518</v>
      </c>
      <c r="Q99" s="5" t="s">
        <v>286</v>
      </c>
      <c r="R99" s="5" t="s">
        <v>35</v>
      </c>
      <c r="S99" s="5" t="s">
        <v>32</v>
      </c>
      <c r="T99" s="5" t="s">
        <v>32</v>
      </c>
      <c r="U99" s="5" t="s">
        <v>32</v>
      </c>
      <c r="V99" s="8">
        <v>80000</v>
      </c>
      <c r="W99" s="5" t="s">
        <v>519</v>
      </c>
      <c r="X99" s="5" t="s">
        <v>520</v>
      </c>
    </row>
    <row r="100" spans="1:24" s="4" customFormat="1" x14ac:dyDescent="0.25">
      <c r="A100" s="5">
        <v>99</v>
      </c>
      <c r="B100" s="13" t="s">
        <v>487</v>
      </c>
      <c r="C100" s="5" t="s">
        <v>521</v>
      </c>
      <c r="D100" s="9" t="s">
        <v>279</v>
      </c>
      <c r="E100" s="5" t="s">
        <v>522</v>
      </c>
      <c r="F100" s="5" t="s">
        <v>523</v>
      </c>
      <c r="G100" s="5" t="s">
        <v>41</v>
      </c>
      <c r="H100" s="5" t="s">
        <v>56</v>
      </c>
      <c r="I100" s="5" t="s">
        <v>524</v>
      </c>
      <c r="J100" s="5" t="s">
        <v>32</v>
      </c>
      <c r="K100" s="5" t="s">
        <v>32</v>
      </c>
      <c r="L100" s="5" t="s">
        <v>32</v>
      </c>
      <c r="M100" s="5" t="s">
        <v>525</v>
      </c>
      <c r="N100" s="5" t="s">
        <v>32</v>
      </c>
      <c r="O100" s="5" t="s">
        <v>32</v>
      </c>
      <c r="P100" s="5" t="s">
        <v>526</v>
      </c>
      <c r="Q100" s="5" t="s">
        <v>303</v>
      </c>
      <c r="R100" s="5" t="s">
        <v>35</v>
      </c>
      <c r="S100" s="5" t="s">
        <v>32</v>
      </c>
      <c r="T100" s="5" t="s">
        <v>32</v>
      </c>
      <c r="U100" s="5" t="s">
        <v>32</v>
      </c>
      <c r="V100" s="8">
        <v>100000</v>
      </c>
      <c r="W100" s="5" t="s">
        <v>525</v>
      </c>
      <c r="X100" s="5" t="s">
        <v>527</v>
      </c>
    </row>
    <row r="101" spans="1:24" s="4" customFormat="1" x14ac:dyDescent="0.25">
      <c r="A101" s="5">
        <v>100</v>
      </c>
      <c r="B101" s="13" t="s">
        <v>487</v>
      </c>
      <c r="C101" s="5" t="s">
        <v>528</v>
      </c>
      <c r="D101" s="9" t="s">
        <v>279</v>
      </c>
      <c r="E101" s="5" t="s">
        <v>529</v>
      </c>
      <c r="F101" s="5" t="s">
        <v>523</v>
      </c>
      <c r="G101" s="5" t="s">
        <v>41</v>
      </c>
      <c r="H101" s="5" t="s">
        <v>140</v>
      </c>
      <c r="I101" s="5" t="s">
        <v>530</v>
      </c>
      <c r="J101" s="5" t="s">
        <v>32</v>
      </c>
      <c r="K101" s="5" t="s">
        <v>32</v>
      </c>
      <c r="L101" s="5" t="s">
        <v>32</v>
      </c>
      <c r="M101" s="5" t="s">
        <v>531</v>
      </c>
      <c r="N101" s="5" t="s">
        <v>32</v>
      </c>
      <c r="O101" s="5" t="s">
        <v>32</v>
      </c>
      <c r="P101" s="5" t="s">
        <v>276</v>
      </c>
      <c r="Q101" s="5" t="s">
        <v>286</v>
      </c>
      <c r="R101" s="5" t="s">
        <v>35</v>
      </c>
      <c r="S101" s="5" t="s">
        <v>32</v>
      </c>
      <c r="T101" s="5" t="s">
        <v>32</v>
      </c>
      <c r="U101" s="5" t="s">
        <v>32</v>
      </c>
      <c r="V101" s="8">
        <v>60000</v>
      </c>
      <c r="W101" s="5" t="s">
        <v>531</v>
      </c>
      <c r="X101" s="5" t="s">
        <v>32</v>
      </c>
    </row>
    <row r="102" spans="1:24" s="4" customFormat="1" x14ac:dyDescent="0.25">
      <c r="A102" s="5">
        <v>101</v>
      </c>
      <c r="B102" s="13" t="s">
        <v>487</v>
      </c>
      <c r="C102" s="5" t="s">
        <v>532</v>
      </c>
      <c r="D102" s="12" t="s">
        <v>466</v>
      </c>
      <c r="E102" s="5" t="s">
        <v>533</v>
      </c>
      <c r="F102" s="5" t="s">
        <v>158</v>
      </c>
      <c r="G102" s="5" t="s">
        <v>179</v>
      </c>
      <c r="H102" s="5" t="s">
        <v>30</v>
      </c>
      <c r="I102" s="5" t="s">
        <v>534</v>
      </c>
      <c r="J102" s="5" t="s">
        <v>32</v>
      </c>
      <c r="K102" s="5" t="s">
        <v>32</v>
      </c>
      <c r="L102" s="5" t="s">
        <v>32</v>
      </c>
      <c r="M102" s="5" t="s">
        <v>535</v>
      </c>
      <c r="N102" s="5" t="s">
        <v>536</v>
      </c>
      <c r="O102" s="5" t="s">
        <v>32</v>
      </c>
      <c r="P102" s="5" t="s">
        <v>175</v>
      </c>
      <c r="Q102" s="5" t="s">
        <v>36</v>
      </c>
      <c r="R102" s="5" t="s">
        <v>35</v>
      </c>
      <c r="S102" s="5" t="s">
        <v>32</v>
      </c>
      <c r="T102" s="5" t="s">
        <v>32</v>
      </c>
      <c r="U102" s="5" t="s">
        <v>32</v>
      </c>
      <c r="V102" s="8">
        <v>60000</v>
      </c>
      <c r="W102" s="5" t="s">
        <v>537</v>
      </c>
      <c r="X102" s="5" t="s">
        <v>538</v>
      </c>
    </row>
    <row r="103" spans="1:24" s="4" customFormat="1" x14ac:dyDescent="0.25">
      <c r="A103" s="5">
        <v>102</v>
      </c>
      <c r="B103" s="13" t="s">
        <v>487</v>
      </c>
      <c r="C103" s="5" t="s">
        <v>539</v>
      </c>
      <c r="D103" s="12" t="s">
        <v>466</v>
      </c>
      <c r="E103" s="5" t="s">
        <v>540</v>
      </c>
      <c r="F103" s="5" t="s">
        <v>541</v>
      </c>
      <c r="G103" s="5" t="s">
        <v>41</v>
      </c>
      <c r="H103" s="5" t="s">
        <v>542</v>
      </c>
      <c r="I103" s="5" t="s">
        <v>543</v>
      </c>
      <c r="J103" s="5" t="s">
        <v>32</v>
      </c>
      <c r="K103" s="5" t="s">
        <v>32</v>
      </c>
      <c r="L103" s="5" t="s">
        <v>32</v>
      </c>
      <c r="M103" s="5" t="s">
        <v>32</v>
      </c>
      <c r="N103" s="5" t="s">
        <v>32</v>
      </c>
      <c r="O103" s="5" t="s">
        <v>32</v>
      </c>
      <c r="P103" s="5" t="s">
        <v>544</v>
      </c>
      <c r="Q103" s="5" t="s">
        <v>36</v>
      </c>
      <c r="R103" s="5" t="s">
        <v>35</v>
      </c>
      <c r="S103" s="5" t="s">
        <v>32</v>
      </c>
      <c r="T103" s="5" t="s">
        <v>32</v>
      </c>
      <c r="U103" s="5" t="s">
        <v>32</v>
      </c>
      <c r="V103" s="8">
        <v>50000</v>
      </c>
      <c r="W103" s="5" t="s">
        <v>36</v>
      </c>
      <c r="X103" s="5" t="s">
        <v>32</v>
      </c>
    </row>
    <row r="104" spans="1:24" s="4" customFormat="1" x14ac:dyDescent="0.25">
      <c r="A104" s="5">
        <v>103</v>
      </c>
      <c r="B104" s="13" t="s">
        <v>487</v>
      </c>
      <c r="C104" s="5" t="s">
        <v>545</v>
      </c>
      <c r="D104" s="12" t="s">
        <v>466</v>
      </c>
      <c r="E104" s="5" t="s">
        <v>540</v>
      </c>
      <c r="F104" s="5" t="s">
        <v>541</v>
      </c>
      <c r="G104" s="5" t="s">
        <v>41</v>
      </c>
      <c r="H104" s="5" t="s">
        <v>546</v>
      </c>
      <c r="I104" s="5" t="s">
        <v>543</v>
      </c>
      <c r="J104" s="5" t="s">
        <v>32</v>
      </c>
      <c r="K104" s="5" t="s">
        <v>32</v>
      </c>
      <c r="L104" s="5" t="s">
        <v>32</v>
      </c>
      <c r="M104" s="5" t="s">
        <v>32</v>
      </c>
      <c r="N104" s="5" t="s">
        <v>32</v>
      </c>
      <c r="O104" s="5" t="s">
        <v>32</v>
      </c>
      <c r="P104" s="5" t="s">
        <v>544</v>
      </c>
      <c r="Q104" s="5" t="s">
        <v>36</v>
      </c>
      <c r="R104" s="5" t="s">
        <v>35</v>
      </c>
      <c r="S104" s="5" t="s">
        <v>32</v>
      </c>
      <c r="T104" s="5" t="s">
        <v>32</v>
      </c>
      <c r="U104" s="5" t="s">
        <v>32</v>
      </c>
      <c r="V104" s="8">
        <v>50000</v>
      </c>
      <c r="W104" s="5" t="s">
        <v>36</v>
      </c>
      <c r="X104" s="5" t="s">
        <v>547</v>
      </c>
    </row>
    <row r="105" spans="1:24" s="4" customFormat="1" x14ac:dyDescent="0.25">
      <c r="A105" s="5">
        <v>104</v>
      </c>
      <c r="B105" s="13" t="s">
        <v>487</v>
      </c>
      <c r="C105" s="5" t="s">
        <v>548</v>
      </c>
      <c r="D105" s="12" t="s">
        <v>466</v>
      </c>
      <c r="E105" s="5" t="s">
        <v>540</v>
      </c>
      <c r="F105" s="5" t="s">
        <v>541</v>
      </c>
      <c r="G105" s="5" t="s">
        <v>41</v>
      </c>
      <c r="H105" s="5" t="s">
        <v>549</v>
      </c>
      <c r="I105" s="5" t="s">
        <v>543</v>
      </c>
      <c r="J105" s="5" t="s">
        <v>32</v>
      </c>
      <c r="K105" s="5" t="s">
        <v>32</v>
      </c>
      <c r="L105" s="5" t="s">
        <v>32</v>
      </c>
      <c r="M105" s="5" t="s">
        <v>32</v>
      </c>
      <c r="N105" s="5" t="s">
        <v>32</v>
      </c>
      <c r="O105" s="5" t="s">
        <v>32</v>
      </c>
      <c r="P105" s="5" t="s">
        <v>544</v>
      </c>
      <c r="Q105" s="5" t="s">
        <v>36</v>
      </c>
      <c r="R105" s="5" t="s">
        <v>35</v>
      </c>
      <c r="S105" s="5" t="s">
        <v>32</v>
      </c>
      <c r="T105" s="5" t="s">
        <v>32</v>
      </c>
      <c r="U105" s="5" t="s">
        <v>32</v>
      </c>
      <c r="V105" s="8">
        <v>50000</v>
      </c>
      <c r="W105" s="5" t="s">
        <v>36</v>
      </c>
      <c r="X105" s="5" t="s">
        <v>550</v>
      </c>
    </row>
    <row r="106" spans="1:24" s="4" customFormat="1" x14ac:dyDescent="0.25">
      <c r="A106" s="5">
        <v>105</v>
      </c>
      <c r="B106" s="13" t="s">
        <v>487</v>
      </c>
      <c r="C106" s="5" t="s">
        <v>551</v>
      </c>
      <c r="D106" s="12" t="s">
        <v>466</v>
      </c>
      <c r="E106" s="5" t="s">
        <v>540</v>
      </c>
      <c r="F106" s="5" t="s">
        <v>541</v>
      </c>
      <c r="G106" s="5" t="s">
        <v>41</v>
      </c>
      <c r="H106" s="5" t="s">
        <v>552</v>
      </c>
      <c r="I106" s="5" t="s">
        <v>543</v>
      </c>
      <c r="J106" s="5" t="s">
        <v>32</v>
      </c>
      <c r="K106" s="5" t="s">
        <v>32</v>
      </c>
      <c r="L106" s="5" t="s">
        <v>32</v>
      </c>
      <c r="M106" s="5" t="s">
        <v>32</v>
      </c>
      <c r="N106" s="5" t="s">
        <v>32</v>
      </c>
      <c r="O106" s="5" t="s">
        <v>32</v>
      </c>
      <c r="P106" s="5" t="s">
        <v>544</v>
      </c>
      <c r="Q106" s="5" t="s">
        <v>36</v>
      </c>
      <c r="R106" s="5" t="s">
        <v>35</v>
      </c>
      <c r="S106" s="5" t="s">
        <v>32</v>
      </c>
      <c r="T106" s="5" t="s">
        <v>32</v>
      </c>
      <c r="U106" s="5" t="s">
        <v>32</v>
      </c>
      <c r="V106" s="8">
        <v>50000</v>
      </c>
      <c r="W106" s="5" t="s">
        <v>36</v>
      </c>
      <c r="X106" s="5" t="s">
        <v>32</v>
      </c>
    </row>
    <row r="107" spans="1:24" s="4" customFormat="1" x14ac:dyDescent="0.25">
      <c r="A107" s="5">
        <v>106</v>
      </c>
      <c r="B107" s="13" t="s">
        <v>487</v>
      </c>
      <c r="C107" s="5" t="s">
        <v>553</v>
      </c>
      <c r="D107" s="12" t="s">
        <v>466</v>
      </c>
      <c r="E107" s="5" t="s">
        <v>540</v>
      </c>
      <c r="F107" s="5" t="s">
        <v>541</v>
      </c>
      <c r="G107" s="5" t="s">
        <v>554</v>
      </c>
      <c r="H107" s="5" t="s">
        <v>555</v>
      </c>
      <c r="I107" s="5" t="s">
        <v>543</v>
      </c>
      <c r="J107" s="5" t="s">
        <v>32</v>
      </c>
      <c r="K107" s="5" t="s">
        <v>32</v>
      </c>
      <c r="L107" s="5" t="s">
        <v>32</v>
      </c>
      <c r="M107" s="5" t="s">
        <v>32</v>
      </c>
      <c r="N107" s="5" t="s">
        <v>32</v>
      </c>
      <c r="O107" s="5" t="s">
        <v>32</v>
      </c>
      <c r="P107" s="5" t="s">
        <v>544</v>
      </c>
      <c r="Q107" s="5" t="s">
        <v>36</v>
      </c>
      <c r="R107" s="5" t="s">
        <v>35</v>
      </c>
      <c r="S107" s="5" t="s">
        <v>32</v>
      </c>
      <c r="T107" s="5" t="s">
        <v>32</v>
      </c>
      <c r="U107" s="5" t="s">
        <v>32</v>
      </c>
      <c r="V107" s="8">
        <v>50000</v>
      </c>
      <c r="W107" s="5" t="s">
        <v>36</v>
      </c>
      <c r="X107" s="5" t="s">
        <v>32</v>
      </c>
    </row>
    <row r="108" spans="1:24" s="4" customFormat="1" x14ac:dyDescent="0.25">
      <c r="A108" s="5">
        <v>107</v>
      </c>
      <c r="B108" s="13" t="s">
        <v>487</v>
      </c>
      <c r="C108" s="5" t="s">
        <v>556</v>
      </c>
      <c r="D108" s="12" t="s">
        <v>466</v>
      </c>
      <c r="E108" s="5" t="s">
        <v>540</v>
      </c>
      <c r="F108" s="5" t="s">
        <v>541</v>
      </c>
      <c r="G108" s="5" t="s">
        <v>41</v>
      </c>
      <c r="H108" s="5" t="s">
        <v>557</v>
      </c>
      <c r="I108" s="5" t="s">
        <v>543</v>
      </c>
      <c r="J108" s="5" t="s">
        <v>32</v>
      </c>
      <c r="K108" s="5" t="s">
        <v>32</v>
      </c>
      <c r="L108" s="5" t="s">
        <v>32</v>
      </c>
      <c r="M108" s="5" t="s">
        <v>32</v>
      </c>
      <c r="N108" s="5" t="s">
        <v>32</v>
      </c>
      <c r="O108" s="5" t="s">
        <v>32</v>
      </c>
      <c r="P108" s="5" t="s">
        <v>544</v>
      </c>
      <c r="Q108" s="5" t="s">
        <v>36</v>
      </c>
      <c r="R108" s="5" t="s">
        <v>35</v>
      </c>
      <c r="S108" s="5" t="s">
        <v>32</v>
      </c>
      <c r="T108" s="5" t="s">
        <v>32</v>
      </c>
      <c r="U108" s="5" t="s">
        <v>32</v>
      </c>
      <c r="V108" s="8">
        <v>50000</v>
      </c>
      <c r="W108" s="5" t="s">
        <v>36</v>
      </c>
      <c r="X108" s="5" t="s">
        <v>558</v>
      </c>
    </row>
    <row r="109" spans="1:24" s="4" customFormat="1" x14ac:dyDescent="0.25">
      <c r="A109" s="5">
        <v>108</v>
      </c>
      <c r="B109" s="13" t="s">
        <v>487</v>
      </c>
      <c r="C109" s="5" t="s">
        <v>559</v>
      </c>
      <c r="D109" s="12" t="s">
        <v>466</v>
      </c>
      <c r="E109" s="5" t="s">
        <v>540</v>
      </c>
      <c r="F109" s="5" t="s">
        <v>541</v>
      </c>
      <c r="G109" s="5" t="s">
        <v>41</v>
      </c>
      <c r="H109" s="5" t="s">
        <v>560</v>
      </c>
      <c r="I109" s="5" t="s">
        <v>543</v>
      </c>
      <c r="J109" s="5" t="s">
        <v>32</v>
      </c>
      <c r="K109" s="5" t="s">
        <v>32</v>
      </c>
      <c r="L109" s="5" t="s">
        <v>32</v>
      </c>
      <c r="M109" s="5" t="s">
        <v>32</v>
      </c>
      <c r="N109" s="5" t="s">
        <v>32</v>
      </c>
      <c r="O109" s="5" t="s">
        <v>32</v>
      </c>
      <c r="P109" s="5" t="s">
        <v>544</v>
      </c>
      <c r="Q109" s="5" t="s">
        <v>36</v>
      </c>
      <c r="R109" s="5" t="s">
        <v>35</v>
      </c>
      <c r="S109" s="5" t="s">
        <v>32</v>
      </c>
      <c r="T109" s="5" t="s">
        <v>32</v>
      </c>
      <c r="U109" s="5" t="s">
        <v>32</v>
      </c>
      <c r="V109" s="8">
        <v>50000</v>
      </c>
      <c r="W109" s="5" t="s">
        <v>36</v>
      </c>
      <c r="X109" s="5" t="s">
        <v>32</v>
      </c>
    </row>
    <row r="110" spans="1:24" s="4" customFormat="1" x14ac:dyDescent="0.25">
      <c r="A110" s="5">
        <v>109</v>
      </c>
      <c r="B110" s="13" t="s">
        <v>487</v>
      </c>
      <c r="C110" s="5" t="s">
        <v>561</v>
      </c>
      <c r="D110" s="12" t="s">
        <v>466</v>
      </c>
      <c r="E110" s="5" t="s">
        <v>540</v>
      </c>
      <c r="F110" s="5" t="s">
        <v>541</v>
      </c>
      <c r="G110" s="5" t="s">
        <v>41</v>
      </c>
      <c r="H110" s="5" t="s">
        <v>562</v>
      </c>
      <c r="I110" s="5" t="s">
        <v>543</v>
      </c>
      <c r="J110" s="5" t="s">
        <v>32</v>
      </c>
      <c r="K110" s="5" t="s">
        <v>32</v>
      </c>
      <c r="L110" s="5" t="s">
        <v>32</v>
      </c>
      <c r="M110" s="5" t="s">
        <v>32</v>
      </c>
      <c r="N110" s="5" t="s">
        <v>32</v>
      </c>
      <c r="O110" s="5" t="s">
        <v>32</v>
      </c>
      <c r="P110" s="5" t="s">
        <v>544</v>
      </c>
      <c r="Q110" s="5" t="s">
        <v>36</v>
      </c>
      <c r="R110" s="5" t="s">
        <v>35</v>
      </c>
      <c r="S110" s="5" t="s">
        <v>32</v>
      </c>
      <c r="T110" s="5" t="s">
        <v>32</v>
      </c>
      <c r="U110" s="5" t="s">
        <v>32</v>
      </c>
      <c r="V110" s="8">
        <v>50000</v>
      </c>
      <c r="W110" s="5" t="s">
        <v>36</v>
      </c>
      <c r="X110" s="5" t="s">
        <v>32</v>
      </c>
    </row>
    <row r="111" spans="1:24" s="4" customFormat="1" x14ac:dyDescent="0.25">
      <c r="A111" s="5">
        <v>110</v>
      </c>
      <c r="B111" s="13" t="s">
        <v>487</v>
      </c>
      <c r="C111" s="5" t="s">
        <v>563</v>
      </c>
      <c r="D111" s="12" t="s">
        <v>466</v>
      </c>
      <c r="E111" s="5" t="s">
        <v>540</v>
      </c>
      <c r="F111" s="5" t="s">
        <v>541</v>
      </c>
      <c r="G111" s="5" t="s">
        <v>564</v>
      </c>
      <c r="H111" s="5" t="s">
        <v>500</v>
      </c>
      <c r="I111" s="5" t="s">
        <v>543</v>
      </c>
      <c r="J111" s="5" t="s">
        <v>32</v>
      </c>
      <c r="K111" s="5" t="s">
        <v>32</v>
      </c>
      <c r="L111" s="5" t="s">
        <v>32</v>
      </c>
      <c r="M111" s="5" t="s">
        <v>32</v>
      </c>
      <c r="N111" s="5" t="s">
        <v>32</v>
      </c>
      <c r="O111" s="5" t="s">
        <v>32</v>
      </c>
      <c r="P111" s="5" t="s">
        <v>544</v>
      </c>
      <c r="Q111" s="5" t="s">
        <v>36</v>
      </c>
      <c r="R111" s="5" t="s">
        <v>35</v>
      </c>
      <c r="S111" s="5" t="s">
        <v>32</v>
      </c>
      <c r="T111" s="5" t="s">
        <v>32</v>
      </c>
      <c r="U111" s="5" t="s">
        <v>32</v>
      </c>
      <c r="V111" s="8">
        <v>50000</v>
      </c>
      <c r="W111" s="5" t="s">
        <v>36</v>
      </c>
      <c r="X111" s="5" t="s">
        <v>565</v>
      </c>
    </row>
    <row r="112" spans="1:24" s="4" customFormat="1" x14ac:dyDescent="0.25">
      <c r="A112" s="5">
        <v>111</v>
      </c>
      <c r="B112" s="13" t="s">
        <v>487</v>
      </c>
      <c r="C112" s="5" t="s">
        <v>566</v>
      </c>
      <c r="D112" s="12" t="s">
        <v>466</v>
      </c>
      <c r="E112" s="5" t="s">
        <v>540</v>
      </c>
      <c r="F112" s="5" t="s">
        <v>541</v>
      </c>
      <c r="G112" s="5" t="s">
        <v>41</v>
      </c>
      <c r="H112" s="5" t="s">
        <v>567</v>
      </c>
      <c r="I112" s="5" t="s">
        <v>543</v>
      </c>
      <c r="J112" s="5" t="s">
        <v>32</v>
      </c>
      <c r="K112" s="5" t="s">
        <v>32</v>
      </c>
      <c r="L112" s="5" t="s">
        <v>32</v>
      </c>
      <c r="M112" s="5" t="s">
        <v>32</v>
      </c>
      <c r="N112" s="5" t="s">
        <v>32</v>
      </c>
      <c r="O112" s="5" t="s">
        <v>32</v>
      </c>
      <c r="P112" s="5" t="s">
        <v>544</v>
      </c>
      <c r="Q112" s="5" t="s">
        <v>36</v>
      </c>
      <c r="R112" s="5" t="s">
        <v>35</v>
      </c>
      <c r="S112" s="5" t="s">
        <v>32</v>
      </c>
      <c r="T112" s="5" t="s">
        <v>32</v>
      </c>
      <c r="U112" s="5" t="s">
        <v>32</v>
      </c>
      <c r="V112" s="8">
        <v>50000</v>
      </c>
      <c r="W112" s="5" t="s">
        <v>36</v>
      </c>
      <c r="X112" s="5" t="s">
        <v>568</v>
      </c>
    </row>
    <row r="113" spans="1:24" s="4" customFormat="1" x14ac:dyDescent="0.25">
      <c r="A113" s="5">
        <v>112</v>
      </c>
      <c r="B113" s="13" t="s">
        <v>487</v>
      </c>
      <c r="C113" s="5" t="s">
        <v>569</v>
      </c>
      <c r="D113" s="12" t="s">
        <v>466</v>
      </c>
      <c r="E113" s="5" t="s">
        <v>570</v>
      </c>
      <c r="F113" s="5" t="s">
        <v>272</v>
      </c>
      <c r="G113" s="5" t="s">
        <v>41</v>
      </c>
      <c r="H113" s="5" t="s">
        <v>571</v>
      </c>
      <c r="I113" s="5" t="s">
        <v>572</v>
      </c>
      <c r="J113" s="5" t="s">
        <v>573</v>
      </c>
      <c r="K113" s="5" t="s">
        <v>574</v>
      </c>
      <c r="L113" s="5" t="s">
        <v>575</v>
      </c>
      <c r="M113" s="5" t="s">
        <v>32</v>
      </c>
      <c r="N113" s="5" t="s">
        <v>32</v>
      </c>
      <c r="O113" s="5" t="s">
        <v>32</v>
      </c>
      <c r="P113" s="5" t="s">
        <v>44</v>
      </c>
      <c r="Q113" s="5" t="s">
        <v>36</v>
      </c>
      <c r="R113" s="5" t="s">
        <v>35</v>
      </c>
      <c r="S113" s="5" t="s">
        <v>32</v>
      </c>
      <c r="T113" s="5" t="s">
        <v>32</v>
      </c>
      <c r="U113" s="5" t="s">
        <v>32</v>
      </c>
      <c r="V113" s="8">
        <v>60000</v>
      </c>
      <c r="W113" s="5" t="s">
        <v>576</v>
      </c>
      <c r="X113" s="5" t="s">
        <v>32</v>
      </c>
    </row>
    <row r="114" spans="1:24" s="4" customFormat="1" x14ac:dyDescent="0.25">
      <c r="A114" s="5">
        <v>113</v>
      </c>
      <c r="B114" s="13" t="s">
        <v>487</v>
      </c>
      <c r="C114" s="5" t="s">
        <v>577</v>
      </c>
      <c r="D114" s="12" t="s">
        <v>466</v>
      </c>
      <c r="E114" s="5" t="s">
        <v>570</v>
      </c>
      <c r="F114" s="5" t="s">
        <v>272</v>
      </c>
      <c r="G114" s="5" t="s">
        <v>41</v>
      </c>
      <c r="H114" s="5" t="s">
        <v>542</v>
      </c>
      <c r="I114" s="5" t="s">
        <v>572</v>
      </c>
      <c r="J114" s="5" t="s">
        <v>578</v>
      </c>
      <c r="K114" s="5" t="s">
        <v>579</v>
      </c>
      <c r="L114" s="5" t="s">
        <v>580</v>
      </c>
      <c r="M114" s="5" t="s">
        <v>32</v>
      </c>
      <c r="N114" s="5" t="s">
        <v>32</v>
      </c>
      <c r="O114" s="5" t="s">
        <v>32</v>
      </c>
      <c r="P114" s="5" t="s">
        <v>44</v>
      </c>
      <c r="Q114" s="5" t="s">
        <v>36</v>
      </c>
      <c r="R114" s="5" t="s">
        <v>35</v>
      </c>
      <c r="S114" s="5" t="s">
        <v>32</v>
      </c>
      <c r="T114" s="5" t="s">
        <v>32</v>
      </c>
      <c r="U114" s="5" t="s">
        <v>32</v>
      </c>
      <c r="V114" s="8">
        <v>60000</v>
      </c>
      <c r="W114" s="5" t="s">
        <v>576</v>
      </c>
      <c r="X114" s="5" t="s">
        <v>32</v>
      </c>
    </row>
    <row r="115" spans="1:24" s="4" customFormat="1" x14ac:dyDescent="0.25">
      <c r="A115" s="5">
        <v>114</v>
      </c>
      <c r="B115" s="13" t="s">
        <v>487</v>
      </c>
      <c r="C115" s="5" t="s">
        <v>581</v>
      </c>
      <c r="D115" s="12" t="s">
        <v>466</v>
      </c>
      <c r="E115" s="5" t="s">
        <v>570</v>
      </c>
      <c r="F115" s="5" t="s">
        <v>272</v>
      </c>
      <c r="G115" s="5" t="s">
        <v>41</v>
      </c>
      <c r="H115" s="5" t="s">
        <v>582</v>
      </c>
      <c r="I115" s="5" t="s">
        <v>572</v>
      </c>
      <c r="J115" s="5" t="s">
        <v>583</v>
      </c>
      <c r="K115" s="5" t="s">
        <v>584</v>
      </c>
      <c r="L115" s="5" t="s">
        <v>585</v>
      </c>
      <c r="M115" s="5" t="s">
        <v>586</v>
      </c>
      <c r="N115" s="5" t="s">
        <v>587</v>
      </c>
      <c r="O115" s="5" t="s">
        <v>32</v>
      </c>
      <c r="P115" s="5" t="s">
        <v>44</v>
      </c>
      <c r="Q115" s="5" t="s">
        <v>36</v>
      </c>
      <c r="R115" s="5" t="s">
        <v>35</v>
      </c>
      <c r="S115" s="5" t="s">
        <v>32</v>
      </c>
      <c r="T115" s="5" t="s">
        <v>32</v>
      </c>
      <c r="U115" s="5" t="s">
        <v>32</v>
      </c>
      <c r="V115" s="8">
        <v>60000</v>
      </c>
      <c r="W115" s="5" t="s">
        <v>576</v>
      </c>
      <c r="X115" s="5" t="s">
        <v>32</v>
      </c>
    </row>
    <row r="116" spans="1:24" s="4" customFormat="1" x14ac:dyDescent="0.25">
      <c r="A116" s="5">
        <v>115</v>
      </c>
      <c r="B116" s="13" t="s">
        <v>487</v>
      </c>
      <c r="C116" s="5" t="s">
        <v>588</v>
      </c>
      <c r="D116" s="12" t="s">
        <v>466</v>
      </c>
      <c r="E116" s="5" t="s">
        <v>441</v>
      </c>
      <c r="F116" s="5" t="s">
        <v>272</v>
      </c>
      <c r="G116" s="5" t="s">
        <v>41</v>
      </c>
      <c r="H116" s="5" t="s">
        <v>30</v>
      </c>
      <c r="I116" s="5" t="s">
        <v>589</v>
      </c>
      <c r="J116" s="5" t="s">
        <v>590</v>
      </c>
      <c r="K116" s="5" t="s">
        <v>591</v>
      </c>
      <c r="L116" s="5" t="s">
        <v>592</v>
      </c>
      <c r="M116" s="5" t="s">
        <v>593</v>
      </c>
      <c r="N116" s="5" t="s">
        <v>594</v>
      </c>
      <c r="O116" s="5" t="s">
        <v>32</v>
      </c>
      <c r="P116" s="5" t="s">
        <v>595</v>
      </c>
      <c r="Q116" s="5" t="s">
        <v>36</v>
      </c>
      <c r="R116" s="5" t="s">
        <v>35</v>
      </c>
      <c r="S116" s="5" t="s">
        <v>32</v>
      </c>
      <c r="T116" s="5" t="s">
        <v>32</v>
      </c>
      <c r="U116" s="5" t="s">
        <v>32</v>
      </c>
      <c r="V116" s="8">
        <v>100000</v>
      </c>
      <c r="W116" s="5" t="s">
        <v>576</v>
      </c>
      <c r="X116" s="5" t="s">
        <v>596</v>
      </c>
    </row>
    <row r="117" spans="1:24" s="4" customFormat="1" x14ac:dyDescent="0.25">
      <c r="A117" s="5">
        <v>116</v>
      </c>
      <c r="B117" s="13" t="s">
        <v>487</v>
      </c>
      <c r="C117" s="5" t="s">
        <v>597</v>
      </c>
      <c r="D117" s="12" t="s">
        <v>466</v>
      </c>
      <c r="E117" s="5" t="s">
        <v>570</v>
      </c>
      <c r="F117" s="5" t="s">
        <v>272</v>
      </c>
      <c r="G117" s="5" t="s">
        <v>41</v>
      </c>
      <c r="H117" s="5" t="s">
        <v>567</v>
      </c>
      <c r="I117" s="5" t="s">
        <v>589</v>
      </c>
      <c r="J117" s="5" t="s">
        <v>598</v>
      </c>
      <c r="K117" s="5" t="s">
        <v>599</v>
      </c>
      <c r="L117" s="5" t="s">
        <v>32</v>
      </c>
      <c r="M117" s="5" t="s">
        <v>32</v>
      </c>
      <c r="N117" s="5" t="s">
        <v>32</v>
      </c>
      <c r="O117" s="5" t="s">
        <v>32</v>
      </c>
      <c r="P117" s="5" t="s">
        <v>44</v>
      </c>
      <c r="Q117" s="5" t="s">
        <v>36</v>
      </c>
      <c r="R117" s="5" t="s">
        <v>35</v>
      </c>
      <c r="S117" s="5" t="s">
        <v>32</v>
      </c>
      <c r="T117" s="5" t="s">
        <v>32</v>
      </c>
      <c r="U117" s="5" t="s">
        <v>32</v>
      </c>
      <c r="V117" s="8">
        <v>60000</v>
      </c>
      <c r="W117" s="5" t="s">
        <v>576</v>
      </c>
      <c r="X117" s="5" t="s">
        <v>32</v>
      </c>
    </row>
    <row r="118" spans="1:24" s="4" customFormat="1" x14ac:dyDescent="0.25">
      <c r="A118" s="5">
        <v>117</v>
      </c>
      <c r="B118" s="13" t="s">
        <v>487</v>
      </c>
      <c r="C118" s="5" t="s">
        <v>600</v>
      </c>
      <c r="D118" s="12" t="s">
        <v>466</v>
      </c>
      <c r="E118" s="5" t="s">
        <v>570</v>
      </c>
      <c r="F118" s="5" t="s">
        <v>272</v>
      </c>
      <c r="G118" s="5" t="s">
        <v>41</v>
      </c>
      <c r="H118" s="5" t="s">
        <v>557</v>
      </c>
      <c r="I118" s="5" t="s">
        <v>572</v>
      </c>
      <c r="J118" s="5" t="s">
        <v>601</v>
      </c>
      <c r="K118" s="5" t="s">
        <v>32</v>
      </c>
      <c r="L118" s="5" t="s">
        <v>602</v>
      </c>
      <c r="M118" s="5" t="s">
        <v>603</v>
      </c>
      <c r="N118" s="5" t="s">
        <v>32</v>
      </c>
      <c r="O118" s="5" t="s">
        <v>32</v>
      </c>
      <c r="P118" s="5" t="s">
        <v>11</v>
      </c>
      <c r="Q118" s="5" t="s">
        <v>36</v>
      </c>
      <c r="R118" s="5" t="s">
        <v>35</v>
      </c>
      <c r="S118" s="5" t="s">
        <v>32</v>
      </c>
      <c r="T118" s="5" t="s">
        <v>32</v>
      </c>
      <c r="U118" s="5" t="s">
        <v>32</v>
      </c>
      <c r="V118" s="8">
        <v>60000</v>
      </c>
      <c r="W118" s="5" t="s">
        <v>576</v>
      </c>
      <c r="X118" s="5" t="s">
        <v>604</v>
      </c>
    </row>
    <row r="119" spans="1:24" s="4" customFormat="1" x14ac:dyDescent="0.25">
      <c r="A119" s="5">
        <v>118</v>
      </c>
      <c r="B119" s="13" t="s">
        <v>487</v>
      </c>
      <c r="C119" s="5" t="s">
        <v>605</v>
      </c>
      <c r="D119" s="12" t="s">
        <v>466</v>
      </c>
      <c r="E119" s="5" t="s">
        <v>570</v>
      </c>
      <c r="F119" s="5" t="s">
        <v>272</v>
      </c>
      <c r="G119" s="5" t="s">
        <v>41</v>
      </c>
      <c r="H119" s="5" t="s">
        <v>327</v>
      </c>
      <c r="I119" s="5" t="s">
        <v>572</v>
      </c>
      <c r="J119" s="5" t="s">
        <v>606</v>
      </c>
      <c r="K119" s="5" t="s">
        <v>607</v>
      </c>
      <c r="L119" s="5" t="s">
        <v>608</v>
      </c>
      <c r="M119" s="5" t="s">
        <v>32</v>
      </c>
      <c r="N119" s="5" t="s">
        <v>32</v>
      </c>
      <c r="O119" s="5" t="s">
        <v>32</v>
      </c>
      <c r="P119" s="5" t="s">
        <v>44</v>
      </c>
      <c r="Q119" s="5" t="s">
        <v>36</v>
      </c>
      <c r="R119" s="5" t="s">
        <v>35</v>
      </c>
      <c r="S119" s="5" t="s">
        <v>32</v>
      </c>
      <c r="T119" s="5" t="s">
        <v>32</v>
      </c>
      <c r="U119" s="5" t="s">
        <v>32</v>
      </c>
      <c r="V119" s="8">
        <v>60000</v>
      </c>
      <c r="W119" s="5" t="s">
        <v>576</v>
      </c>
      <c r="X119" s="5" t="s">
        <v>32</v>
      </c>
    </row>
    <row r="120" spans="1:24" s="4" customFormat="1" x14ac:dyDescent="0.25">
      <c r="A120" s="5">
        <v>119</v>
      </c>
      <c r="B120" s="13" t="s">
        <v>487</v>
      </c>
      <c r="C120" s="5" t="s">
        <v>609</v>
      </c>
      <c r="D120" s="12" t="s">
        <v>466</v>
      </c>
      <c r="E120" s="5" t="s">
        <v>570</v>
      </c>
      <c r="F120" s="5" t="s">
        <v>272</v>
      </c>
      <c r="G120" s="5" t="s">
        <v>41</v>
      </c>
      <c r="H120" s="5" t="s">
        <v>610</v>
      </c>
      <c r="I120" s="5" t="s">
        <v>572</v>
      </c>
      <c r="J120" s="5" t="s">
        <v>611</v>
      </c>
      <c r="K120" s="5" t="s">
        <v>32</v>
      </c>
      <c r="L120" s="5" t="s">
        <v>32</v>
      </c>
      <c r="M120" s="5" t="s">
        <v>32</v>
      </c>
      <c r="N120" s="5" t="s">
        <v>32</v>
      </c>
      <c r="O120" s="5" t="s">
        <v>32</v>
      </c>
      <c r="P120" s="5" t="s">
        <v>351</v>
      </c>
      <c r="Q120" s="5" t="s">
        <v>36</v>
      </c>
      <c r="R120" s="5" t="s">
        <v>35</v>
      </c>
      <c r="S120" s="5" t="s">
        <v>32</v>
      </c>
      <c r="T120" s="5" t="s">
        <v>32</v>
      </c>
      <c r="U120" s="5" t="s">
        <v>32</v>
      </c>
      <c r="V120" s="8">
        <v>60000</v>
      </c>
      <c r="W120" s="5" t="s">
        <v>576</v>
      </c>
      <c r="X120" s="5" t="s">
        <v>612</v>
      </c>
    </row>
    <row r="121" spans="1:24" s="4" customFormat="1" x14ac:dyDescent="0.25">
      <c r="A121" s="5">
        <v>120</v>
      </c>
      <c r="B121" s="13" t="s">
        <v>487</v>
      </c>
      <c r="C121" s="5" t="s">
        <v>613</v>
      </c>
      <c r="D121" s="12" t="s">
        <v>466</v>
      </c>
      <c r="E121" s="5" t="s">
        <v>570</v>
      </c>
      <c r="F121" s="5" t="s">
        <v>272</v>
      </c>
      <c r="G121" s="5" t="s">
        <v>41</v>
      </c>
      <c r="H121" s="5" t="s">
        <v>500</v>
      </c>
      <c r="I121" s="5" t="s">
        <v>572</v>
      </c>
      <c r="J121" s="5" t="s">
        <v>614</v>
      </c>
      <c r="K121" s="5" t="s">
        <v>615</v>
      </c>
      <c r="L121" s="5" t="s">
        <v>616</v>
      </c>
      <c r="M121" s="5" t="s">
        <v>617</v>
      </c>
      <c r="N121" s="5" t="s">
        <v>618</v>
      </c>
      <c r="O121" s="5" t="s">
        <v>32</v>
      </c>
      <c r="P121" s="5" t="s">
        <v>44</v>
      </c>
      <c r="Q121" s="5" t="s">
        <v>36</v>
      </c>
      <c r="R121" s="5" t="s">
        <v>35</v>
      </c>
      <c r="S121" s="5" t="s">
        <v>32</v>
      </c>
      <c r="T121" s="5" t="s">
        <v>32</v>
      </c>
      <c r="U121" s="5" t="s">
        <v>32</v>
      </c>
      <c r="V121" s="8">
        <v>60000</v>
      </c>
      <c r="W121" s="5" t="s">
        <v>576</v>
      </c>
      <c r="X121" s="5" t="s">
        <v>32</v>
      </c>
    </row>
    <row r="122" spans="1:24" s="4" customFormat="1" x14ac:dyDescent="0.25">
      <c r="A122" s="5">
        <v>121</v>
      </c>
      <c r="B122" s="13" t="s">
        <v>487</v>
      </c>
      <c r="C122" s="5" t="s">
        <v>619</v>
      </c>
      <c r="D122" s="12" t="s">
        <v>466</v>
      </c>
      <c r="E122" s="5" t="s">
        <v>570</v>
      </c>
      <c r="F122" s="5" t="s">
        <v>272</v>
      </c>
      <c r="G122" s="5" t="s">
        <v>41</v>
      </c>
      <c r="H122" s="5" t="s">
        <v>620</v>
      </c>
      <c r="I122" s="5" t="s">
        <v>572</v>
      </c>
      <c r="J122" s="5" t="s">
        <v>621</v>
      </c>
      <c r="K122" s="5" t="s">
        <v>622</v>
      </c>
      <c r="L122" s="5" t="s">
        <v>623</v>
      </c>
      <c r="M122" s="5" t="s">
        <v>32</v>
      </c>
      <c r="N122" s="5" t="s">
        <v>624</v>
      </c>
      <c r="O122" s="5" t="s">
        <v>32</v>
      </c>
      <c r="P122" s="5" t="s">
        <v>44</v>
      </c>
      <c r="Q122" s="5" t="s">
        <v>36</v>
      </c>
      <c r="R122" s="5" t="s">
        <v>35</v>
      </c>
      <c r="S122" s="5" t="s">
        <v>32</v>
      </c>
      <c r="T122" s="5" t="s">
        <v>32</v>
      </c>
      <c r="U122" s="5" t="s">
        <v>32</v>
      </c>
      <c r="V122" s="8">
        <v>60000</v>
      </c>
      <c r="W122" s="5" t="s">
        <v>576</v>
      </c>
      <c r="X122" s="5" t="s">
        <v>32</v>
      </c>
    </row>
    <row r="123" spans="1:24" s="4" customFormat="1" x14ac:dyDescent="0.25">
      <c r="A123" s="5">
        <v>122</v>
      </c>
      <c r="B123" s="13" t="s">
        <v>487</v>
      </c>
      <c r="C123" s="5" t="s">
        <v>625</v>
      </c>
      <c r="D123" s="12" t="s">
        <v>466</v>
      </c>
      <c r="E123" s="5" t="s">
        <v>146</v>
      </c>
      <c r="F123" s="5" t="s">
        <v>272</v>
      </c>
      <c r="G123" s="5" t="s">
        <v>41</v>
      </c>
      <c r="H123" s="5" t="s">
        <v>30</v>
      </c>
      <c r="I123" s="5" t="s">
        <v>438</v>
      </c>
      <c r="J123" s="5" t="s">
        <v>626</v>
      </c>
      <c r="K123" s="5" t="s">
        <v>627</v>
      </c>
      <c r="L123" s="5" t="s">
        <v>628</v>
      </c>
      <c r="M123" s="5" t="s">
        <v>525</v>
      </c>
      <c r="N123" s="5" t="s">
        <v>32</v>
      </c>
      <c r="O123" s="5" t="s">
        <v>32</v>
      </c>
      <c r="P123" s="5" t="s">
        <v>11</v>
      </c>
      <c r="Q123" s="5" t="s">
        <v>36</v>
      </c>
      <c r="R123" s="5" t="s">
        <v>35</v>
      </c>
      <c r="S123" s="5" t="s">
        <v>32</v>
      </c>
      <c r="T123" s="5" t="s">
        <v>32</v>
      </c>
      <c r="U123" s="5" t="s">
        <v>32</v>
      </c>
      <c r="V123" s="8">
        <v>150000</v>
      </c>
      <c r="W123" s="5" t="s">
        <v>629</v>
      </c>
      <c r="X123" s="5" t="s">
        <v>630</v>
      </c>
    </row>
    <row r="124" spans="1:24" s="4" customFormat="1" x14ac:dyDescent="0.25">
      <c r="A124" s="5">
        <v>123</v>
      </c>
      <c r="B124" s="13" t="s">
        <v>487</v>
      </c>
      <c r="C124" s="5" t="s">
        <v>631</v>
      </c>
      <c r="D124" s="12" t="s">
        <v>466</v>
      </c>
      <c r="E124" s="5" t="s">
        <v>570</v>
      </c>
      <c r="F124" s="5" t="s">
        <v>272</v>
      </c>
      <c r="G124" s="5" t="s">
        <v>41</v>
      </c>
      <c r="H124" s="5" t="s">
        <v>549</v>
      </c>
      <c r="I124" s="5" t="s">
        <v>572</v>
      </c>
      <c r="J124" s="5" t="s">
        <v>632</v>
      </c>
      <c r="K124" s="5" t="s">
        <v>633</v>
      </c>
      <c r="L124" s="5" t="s">
        <v>634</v>
      </c>
      <c r="M124" s="5" t="s">
        <v>635</v>
      </c>
      <c r="N124" s="5" t="s">
        <v>32</v>
      </c>
      <c r="O124" s="5" t="s">
        <v>32</v>
      </c>
      <c r="P124" s="5" t="s">
        <v>44</v>
      </c>
      <c r="Q124" s="5" t="s">
        <v>36</v>
      </c>
      <c r="R124" s="5" t="s">
        <v>35</v>
      </c>
      <c r="S124" s="5" t="s">
        <v>32</v>
      </c>
      <c r="T124" s="5" t="s">
        <v>32</v>
      </c>
      <c r="U124" s="5" t="s">
        <v>32</v>
      </c>
      <c r="V124" s="8">
        <v>60000</v>
      </c>
      <c r="W124" s="5" t="s">
        <v>576</v>
      </c>
      <c r="X124" s="5" t="s">
        <v>32</v>
      </c>
    </row>
    <row r="125" spans="1:24" s="4" customFormat="1" x14ac:dyDescent="0.25">
      <c r="A125" s="5">
        <v>124</v>
      </c>
      <c r="B125" s="13" t="s">
        <v>487</v>
      </c>
      <c r="C125" s="5" t="s">
        <v>636</v>
      </c>
      <c r="D125" s="12" t="s">
        <v>466</v>
      </c>
      <c r="E125" s="5" t="s">
        <v>570</v>
      </c>
      <c r="F125" s="5" t="s">
        <v>272</v>
      </c>
      <c r="G125" s="5" t="s">
        <v>41</v>
      </c>
      <c r="H125" s="5" t="s">
        <v>637</v>
      </c>
      <c r="I125" s="5" t="s">
        <v>572</v>
      </c>
      <c r="J125" s="5" t="s">
        <v>638</v>
      </c>
      <c r="K125" s="5" t="s">
        <v>639</v>
      </c>
      <c r="L125" s="5" t="s">
        <v>640</v>
      </c>
      <c r="M125" s="5" t="s">
        <v>641</v>
      </c>
      <c r="N125" s="5" t="s">
        <v>642</v>
      </c>
      <c r="O125" s="5" t="s">
        <v>32</v>
      </c>
      <c r="P125" s="5" t="s">
        <v>44</v>
      </c>
      <c r="Q125" s="5" t="s">
        <v>36</v>
      </c>
      <c r="R125" s="5" t="s">
        <v>35</v>
      </c>
      <c r="S125" s="5" t="s">
        <v>32</v>
      </c>
      <c r="T125" s="5" t="s">
        <v>32</v>
      </c>
      <c r="U125" s="5" t="s">
        <v>32</v>
      </c>
      <c r="V125" s="8">
        <v>60000</v>
      </c>
      <c r="W125" s="5" t="s">
        <v>576</v>
      </c>
      <c r="X125" s="5" t="s">
        <v>32</v>
      </c>
    </row>
    <row r="126" spans="1:24" s="4" customFormat="1" x14ac:dyDescent="0.25">
      <c r="A126" s="5">
        <v>125</v>
      </c>
      <c r="B126" s="13" t="s">
        <v>487</v>
      </c>
      <c r="C126" s="5" t="s">
        <v>643</v>
      </c>
      <c r="D126" s="12" t="s">
        <v>466</v>
      </c>
      <c r="E126" s="5" t="s">
        <v>570</v>
      </c>
      <c r="F126" s="5" t="s">
        <v>272</v>
      </c>
      <c r="G126" s="5" t="s">
        <v>41</v>
      </c>
      <c r="H126" s="5" t="s">
        <v>644</v>
      </c>
      <c r="I126" s="5" t="s">
        <v>572</v>
      </c>
      <c r="J126" s="5" t="s">
        <v>645</v>
      </c>
      <c r="K126" s="5" t="s">
        <v>646</v>
      </c>
      <c r="L126" s="5" t="s">
        <v>647</v>
      </c>
      <c r="M126" s="5" t="s">
        <v>648</v>
      </c>
      <c r="N126" s="5" t="s">
        <v>649</v>
      </c>
      <c r="O126" s="5" t="s">
        <v>32</v>
      </c>
      <c r="P126" s="5" t="s">
        <v>44</v>
      </c>
      <c r="Q126" s="5" t="s">
        <v>36</v>
      </c>
      <c r="R126" s="5" t="s">
        <v>35</v>
      </c>
      <c r="S126" s="5" t="s">
        <v>32</v>
      </c>
      <c r="T126" s="5" t="s">
        <v>32</v>
      </c>
      <c r="U126" s="5" t="s">
        <v>32</v>
      </c>
      <c r="V126" s="8">
        <v>60000</v>
      </c>
      <c r="W126" s="5" t="s">
        <v>576</v>
      </c>
      <c r="X126" s="5" t="s">
        <v>32</v>
      </c>
    </row>
    <row r="127" spans="1:24" s="4" customFormat="1" x14ac:dyDescent="0.25">
      <c r="A127" s="5">
        <v>126</v>
      </c>
      <c r="B127" s="13" t="s">
        <v>487</v>
      </c>
      <c r="C127" s="5" t="s">
        <v>650</v>
      </c>
      <c r="D127" s="12" t="s">
        <v>466</v>
      </c>
      <c r="E127" s="5" t="s">
        <v>570</v>
      </c>
      <c r="F127" s="5" t="s">
        <v>272</v>
      </c>
      <c r="G127" s="5" t="s">
        <v>41</v>
      </c>
      <c r="H127" s="5" t="s">
        <v>651</v>
      </c>
      <c r="I127" s="5" t="s">
        <v>572</v>
      </c>
      <c r="J127" s="5" t="s">
        <v>652</v>
      </c>
      <c r="K127" s="5" t="s">
        <v>653</v>
      </c>
      <c r="L127" s="5" t="s">
        <v>654</v>
      </c>
      <c r="M127" s="5" t="s">
        <v>655</v>
      </c>
      <c r="N127" s="5" t="s">
        <v>32</v>
      </c>
      <c r="O127" s="5" t="s">
        <v>32</v>
      </c>
      <c r="P127" s="5" t="s">
        <v>44</v>
      </c>
      <c r="Q127" s="5" t="s">
        <v>36</v>
      </c>
      <c r="R127" s="5" t="s">
        <v>35</v>
      </c>
      <c r="S127" s="5" t="s">
        <v>32</v>
      </c>
      <c r="T127" s="5" t="s">
        <v>32</v>
      </c>
      <c r="U127" s="5" t="s">
        <v>32</v>
      </c>
      <c r="V127" s="8">
        <v>60000</v>
      </c>
      <c r="W127" s="5" t="s">
        <v>576</v>
      </c>
      <c r="X127" s="5" t="s">
        <v>32</v>
      </c>
    </row>
    <row r="128" spans="1:24" s="4" customFormat="1" x14ac:dyDescent="0.25">
      <c r="A128" s="5">
        <v>127</v>
      </c>
      <c r="B128" s="13" t="s">
        <v>487</v>
      </c>
      <c r="C128" s="5" t="s">
        <v>656</v>
      </c>
      <c r="D128" s="12" t="s">
        <v>466</v>
      </c>
      <c r="E128" s="5" t="s">
        <v>570</v>
      </c>
      <c r="F128" s="5" t="s">
        <v>272</v>
      </c>
      <c r="G128" s="5" t="s">
        <v>41</v>
      </c>
      <c r="H128" s="5" t="s">
        <v>657</v>
      </c>
      <c r="I128" s="5" t="s">
        <v>572</v>
      </c>
      <c r="J128" s="5" t="s">
        <v>658</v>
      </c>
      <c r="K128" s="5" t="s">
        <v>659</v>
      </c>
      <c r="L128" s="5" t="s">
        <v>660</v>
      </c>
      <c r="M128" s="5" t="s">
        <v>32</v>
      </c>
      <c r="N128" s="5" t="s">
        <v>661</v>
      </c>
      <c r="O128" s="5" t="s">
        <v>32</v>
      </c>
      <c r="P128" s="5" t="s">
        <v>44</v>
      </c>
      <c r="Q128" s="5" t="s">
        <v>36</v>
      </c>
      <c r="R128" s="5" t="s">
        <v>35</v>
      </c>
      <c r="S128" s="5" t="s">
        <v>32</v>
      </c>
      <c r="T128" s="5" t="s">
        <v>32</v>
      </c>
      <c r="U128" s="5" t="s">
        <v>32</v>
      </c>
      <c r="V128" s="8">
        <v>60000</v>
      </c>
      <c r="W128" s="5" t="s">
        <v>576</v>
      </c>
      <c r="X128" s="5" t="s">
        <v>32</v>
      </c>
    </row>
    <row r="129" spans="1:24" s="4" customFormat="1" x14ac:dyDescent="0.25">
      <c r="A129" s="5">
        <v>128</v>
      </c>
      <c r="B129" s="13" t="s">
        <v>487</v>
      </c>
      <c r="C129" s="5" t="s">
        <v>662</v>
      </c>
      <c r="D129" s="12" t="s">
        <v>466</v>
      </c>
      <c r="E129" s="5" t="s">
        <v>570</v>
      </c>
      <c r="F129" s="5" t="s">
        <v>272</v>
      </c>
      <c r="G129" s="5" t="s">
        <v>41</v>
      </c>
      <c r="H129" s="5" t="s">
        <v>663</v>
      </c>
      <c r="I129" s="5" t="s">
        <v>572</v>
      </c>
      <c r="J129" s="5" t="s">
        <v>664</v>
      </c>
      <c r="K129" s="5" t="s">
        <v>665</v>
      </c>
      <c r="L129" s="5" t="s">
        <v>666</v>
      </c>
      <c r="M129" s="5" t="s">
        <v>32</v>
      </c>
      <c r="N129" s="5" t="s">
        <v>667</v>
      </c>
      <c r="O129" s="5" t="s">
        <v>32</v>
      </c>
      <c r="P129" s="5" t="s">
        <v>44</v>
      </c>
      <c r="Q129" s="5" t="s">
        <v>36</v>
      </c>
      <c r="R129" s="5" t="s">
        <v>35</v>
      </c>
      <c r="S129" s="5" t="s">
        <v>32</v>
      </c>
      <c r="T129" s="5" t="s">
        <v>32</v>
      </c>
      <c r="U129" s="5" t="s">
        <v>32</v>
      </c>
      <c r="V129" s="8">
        <v>60000</v>
      </c>
      <c r="W129" s="5" t="s">
        <v>576</v>
      </c>
      <c r="X129" s="5" t="s">
        <v>32</v>
      </c>
    </row>
    <row r="130" spans="1:24" s="4" customFormat="1" x14ac:dyDescent="0.25">
      <c r="A130" s="5">
        <v>129</v>
      </c>
      <c r="B130" s="13" t="s">
        <v>487</v>
      </c>
      <c r="C130" s="5" t="s">
        <v>668</v>
      </c>
      <c r="D130" s="12" t="s">
        <v>466</v>
      </c>
      <c r="E130" s="5" t="s">
        <v>570</v>
      </c>
      <c r="F130" s="5" t="s">
        <v>272</v>
      </c>
      <c r="G130" s="5" t="s">
        <v>41</v>
      </c>
      <c r="H130" s="5" t="s">
        <v>663</v>
      </c>
      <c r="I130" s="5" t="s">
        <v>572</v>
      </c>
      <c r="J130" s="5" t="s">
        <v>669</v>
      </c>
      <c r="K130" s="5" t="s">
        <v>670</v>
      </c>
      <c r="L130" s="5" t="s">
        <v>671</v>
      </c>
      <c r="M130" s="5" t="s">
        <v>32</v>
      </c>
      <c r="N130" s="5" t="s">
        <v>32</v>
      </c>
      <c r="O130" s="5" t="s">
        <v>32</v>
      </c>
      <c r="P130" s="5" t="s">
        <v>44</v>
      </c>
      <c r="Q130" s="5" t="s">
        <v>36</v>
      </c>
      <c r="R130" s="5" t="s">
        <v>35</v>
      </c>
      <c r="S130" s="5" t="s">
        <v>32</v>
      </c>
      <c r="T130" s="5" t="s">
        <v>32</v>
      </c>
      <c r="U130" s="5" t="s">
        <v>32</v>
      </c>
      <c r="V130" s="8">
        <v>60000</v>
      </c>
      <c r="W130" s="5" t="s">
        <v>576</v>
      </c>
      <c r="X130" s="5" t="s">
        <v>32</v>
      </c>
    </row>
    <row r="131" spans="1:24" s="4" customFormat="1" x14ac:dyDescent="0.25">
      <c r="A131" s="5">
        <v>130</v>
      </c>
      <c r="B131" s="13" t="s">
        <v>487</v>
      </c>
      <c r="C131" s="5" t="s">
        <v>672</v>
      </c>
      <c r="D131" s="12" t="s">
        <v>466</v>
      </c>
      <c r="E131" s="5" t="s">
        <v>570</v>
      </c>
      <c r="F131" s="5" t="s">
        <v>272</v>
      </c>
      <c r="G131" s="5" t="s">
        <v>41</v>
      </c>
      <c r="H131" s="5" t="s">
        <v>673</v>
      </c>
      <c r="I131" s="5" t="s">
        <v>572</v>
      </c>
      <c r="J131" s="5" t="s">
        <v>674</v>
      </c>
      <c r="K131" s="5" t="s">
        <v>675</v>
      </c>
      <c r="L131" s="5" t="s">
        <v>676</v>
      </c>
      <c r="M131" s="5" t="s">
        <v>32</v>
      </c>
      <c r="N131" s="5" t="s">
        <v>677</v>
      </c>
      <c r="O131" s="5" t="s">
        <v>32</v>
      </c>
      <c r="P131" s="5" t="s">
        <v>44</v>
      </c>
      <c r="Q131" s="5" t="s">
        <v>36</v>
      </c>
      <c r="R131" s="5" t="s">
        <v>35</v>
      </c>
      <c r="S131" s="5" t="s">
        <v>32</v>
      </c>
      <c r="T131" s="5" t="s">
        <v>32</v>
      </c>
      <c r="U131" s="5" t="s">
        <v>32</v>
      </c>
      <c r="V131" s="8">
        <v>60000</v>
      </c>
      <c r="W131" s="5" t="s">
        <v>576</v>
      </c>
      <c r="X131" s="5" t="s">
        <v>32</v>
      </c>
    </row>
    <row r="132" spans="1:24" s="4" customFormat="1" x14ac:dyDescent="0.25">
      <c r="A132" s="5">
        <v>131</v>
      </c>
      <c r="B132" s="13" t="s">
        <v>487</v>
      </c>
      <c r="C132" s="5" t="s">
        <v>678</v>
      </c>
      <c r="D132" s="10" t="s">
        <v>294</v>
      </c>
      <c r="E132" s="5" t="s">
        <v>471</v>
      </c>
      <c r="F132" s="5" t="s">
        <v>472</v>
      </c>
      <c r="G132" s="5" t="s">
        <v>41</v>
      </c>
      <c r="H132" s="5" t="s">
        <v>56</v>
      </c>
      <c r="I132" s="5" t="s">
        <v>679</v>
      </c>
      <c r="J132" s="5" t="s">
        <v>32</v>
      </c>
      <c r="K132" s="5" t="s">
        <v>32</v>
      </c>
      <c r="L132" s="5" t="s">
        <v>32</v>
      </c>
      <c r="M132" s="5" t="s">
        <v>32</v>
      </c>
      <c r="N132" s="5" t="s">
        <v>32</v>
      </c>
      <c r="O132" s="5" t="s">
        <v>680</v>
      </c>
      <c r="P132" s="5" t="s">
        <v>14</v>
      </c>
      <c r="Q132" s="5" t="s">
        <v>476</v>
      </c>
      <c r="R132" s="5" t="s">
        <v>35</v>
      </c>
      <c r="S132" s="5" t="s">
        <v>32</v>
      </c>
      <c r="T132" s="5" t="s">
        <v>32</v>
      </c>
      <c r="U132" s="5" t="s">
        <v>32</v>
      </c>
      <c r="V132" s="8">
        <v>0</v>
      </c>
      <c r="W132" s="5" t="s">
        <v>681</v>
      </c>
      <c r="X132" s="5" t="s">
        <v>682</v>
      </c>
    </row>
    <row r="133" spans="1:24" s="4" customFormat="1" x14ac:dyDescent="0.25">
      <c r="A133" s="5">
        <v>132</v>
      </c>
      <c r="B133" s="13" t="s">
        <v>487</v>
      </c>
      <c r="C133" s="5" t="s">
        <v>683</v>
      </c>
      <c r="D133" s="10" t="s">
        <v>294</v>
      </c>
      <c r="E133" s="5" t="s">
        <v>471</v>
      </c>
      <c r="F133" s="5" t="s">
        <v>472</v>
      </c>
      <c r="G133" s="5" t="s">
        <v>41</v>
      </c>
      <c r="H133" s="5" t="s">
        <v>56</v>
      </c>
      <c r="I133" s="5" t="s">
        <v>679</v>
      </c>
      <c r="J133" s="5" t="s">
        <v>32</v>
      </c>
      <c r="K133" s="5" t="s">
        <v>32</v>
      </c>
      <c r="L133" s="5" t="s">
        <v>32</v>
      </c>
      <c r="M133" s="5" t="s">
        <v>32</v>
      </c>
      <c r="N133" s="5" t="s">
        <v>32</v>
      </c>
      <c r="O133" s="5" t="s">
        <v>684</v>
      </c>
      <c r="P133" s="5" t="s">
        <v>14</v>
      </c>
      <c r="Q133" s="5" t="s">
        <v>476</v>
      </c>
      <c r="R133" s="5" t="s">
        <v>35</v>
      </c>
      <c r="S133" s="5" t="s">
        <v>32</v>
      </c>
      <c r="T133" s="5" t="s">
        <v>32</v>
      </c>
      <c r="U133" s="5" t="s">
        <v>32</v>
      </c>
      <c r="V133" s="8">
        <v>0</v>
      </c>
      <c r="W133" s="5" t="s">
        <v>684</v>
      </c>
      <c r="X133" s="5" t="s">
        <v>685</v>
      </c>
    </row>
    <row r="134" spans="1:24" s="4" customFormat="1" x14ac:dyDescent="0.25">
      <c r="A134" s="5">
        <v>133</v>
      </c>
      <c r="B134" s="14" t="s">
        <v>686</v>
      </c>
      <c r="C134" s="5" t="s">
        <v>687</v>
      </c>
      <c r="D134" s="7" t="s">
        <v>26</v>
      </c>
      <c r="E134" s="5" t="s">
        <v>688</v>
      </c>
      <c r="F134" s="5" t="s">
        <v>81</v>
      </c>
      <c r="G134" s="5" t="s">
        <v>29</v>
      </c>
      <c r="H134" s="5" t="s">
        <v>30</v>
      </c>
      <c r="I134" s="5" t="s">
        <v>5</v>
      </c>
      <c r="J134" s="5" t="s">
        <v>32</v>
      </c>
      <c r="K134" s="5" t="s">
        <v>32</v>
      </c>
      <c r="L134" s="5" t="s">
        <v>32</v>
      </c>
      <c r="M134" s="5" t="s">
        <v>32</v>
      </c>
      <c r="N134" s="5" t="s">
        <v>32</v>
      </c>
      <c r="O134" s="5" t="s">
        <v>32</v>
      </c>
      <c r="P134" s="5" t="s">
        <v>36</v>
      </c>
      <c r="Q134" s="5" t="s">
        <v>36</v>
      </c>
      <c r="R134" s="5" t="s">
        <v>689</v>
      </c>
      <c r="S134" s="5" t="s">
        <v>32</v>
      </c>
      <c r="T134" s="5" t="s">
        <v>32</v>
      </c>
      <c r="U134" s="5" t="s">
        <v>32</v>
      </c>
      <c r="V134" s="8">
        <v>300000</v>
      </c>
      <c r="W134" s="5" t="s">
        <v>36</v>
      </c>
      <c r="X134" s="5" t="s">
        <v>690</v>
      </c>
    </row>
    <row r="135" spans="1:24" s="4" customFormat="1" x14ac:dyDescent="0.25">
      <c r="A135" s="5">
        <v>134</v>
      </c>
      <c r="B135" s="14" t="s">
        <v>686</v>
      </c>
      <c r="C135" s="5" t="s">
        <v>691</v>
      </c>
      <c r="D135" s="7" t="s">
        <v>26</v>
      </c>
      <c r="E135" s="5" t="s">
        <v>692</v>
      </c>
      <c r="F135" s="5" t="s">
        <v>81</v>
      </c>
      <c r="G135" s="5" t="s">
        <v>29</v>
      </c>
      <c r="H135" s="5" t="s">
        <v>30</v>
      </c>
      <c r="I135" s="5" t="s">
        <v>693</v>
      </c>
      <c r="J135" s="5" t="s">
        <v>32</v>
      </c>
      <c r="K135" s="5" t="s">
        <v>32</v>
      </c>
      <c r="L135" s="5" t="s">
        <v>32</v>
      </c>
      <c r="M135" s="5" t="s">
        <v>84</v>
      </c>
      <c r="N135" s="5" t="s">
        <v>32</v>
      </c>
      <c r="O135" s="5" t="s">
        <v>32</v>
      </c>
      <c r="P135" s="5" t="s">
        <v>36</v>
      </c>
      <c r="Q135" s="5" t="s">
        <v>36</v>
      </c>
      <c r="R135" s="5" t="s">
        <v>689</v>
      </c>
      <c r="S135" s="5" t="s">
        <v>32</v>
      </c>
      <c r="T135" s="5" t="s">
        <v>32</v>
      </c>
      <c r="U135" s="5" t="s">
        <v>32</v>
      </c>
      <c r="V135" s="8">
        <v>400000</v>
      </c>
      <c r="W135" s="5" t="s">
        <v>694</v>
      </c>
      <c r="X135" s="5" t="s">
        <v>695</v>
      </c>
    </row>
    <row r="136" spans="1:24" s="4" customFormat="1" x14ac:dyDescent="0.25">
      <c r="A136" s="5">
        <v>135</v>
      </c>
      <c r="B136" s="14" t="s">
        <v>686</v>
      </c>
      <c r="C136" s="5" t="s">
        <v>696</v>
      </c>
      <c r="D136" s="7" t="s">
        <v>26</v>
      </c>
      <c r="E136" s="5" t="s">
        <v>697</v>
      </c>
      <c r="F136" s="5" t="s">
        <v>81</v>
      </c>
      <c r="G136" s="5" t="s">
        <v>29</v>
      </c>
      <c r="H136" s="5" t="s">
        <v>30</v>
      </c>
      <c r="I136" s="5" t="s">
        <v>698</v>
      </c>
      <c r="J136" s="5" t="s">
        <v>32</v>
      </c>
      <c r="K136" s="5" t="s">
        <v>32</v>
      </c>
      <c r="L136" s="5" t="s">
        <v>32</v>
      </c>
      <c r="M136" s="5" t="s">
        <v>97</v>
      </c>
      <c r="N136" s="5" t="s">
        <v>32</v>
      </c>
      <c r="O136" s="5" t="s">
        <v>32</v>
      </c>
      <c r="P136" s="5" t="s">
        <v>36</v>
      </c>
      <c r="Q136" s="5" t="s">
        <v>36</v>
      </c>
      <c r="R136" s="5" t="s">
        <v>689</v>
      </c>
      <c r="S136" s="5" t="s">
        <v>32</v>
      </c>
      <c r="T136" s="5" t="s">
        <v>32</v>
      </c>
      <c r="U136" s="5" t="s">
        <v>32</v>
      </c>
      <c r="V136" s="8">
        <v>400000</v>
      </c>
      <c r="W136" s="5" t="s">
        <v>694</v>
      </c>
      <c r="X136" s="5" t="s">
        <v>699</v>
      </c>
    </row>
    <row r="137" spans="1:24" s="4" customFormat="1" x14ac:dyDescent="0.25">
      <c r="A137" s="5">
        <v>136</v>
      </c>
      <c r="B137" s="14" t="s">
        <v>686</v>
      </c>
      <c r="C137" s="5" t="s">
        <v>700</v>
      </c>
      <c r="D137" s="7" t="s">
        <v>26</v>
      </c>
      <c r="E137" s="5" t="s">
        <v>697</v>
      </c>
      <c r="F137" s="5" t="s">
        <v>81</v>
      </c>
      <c r="G137" s="5" t="s">
        <v>29</v>
      </c>
      <c r="H137" s="5" t="s">
        <v>30</v>
      </c>
      <c r="I137" s="5" t="s">
        <v>698</v>
      </c>
      <c r="J137" s="5" t="s">
        <v>32</v>
      </c>
      <c r="K137" s="5" t="s">
        <v>32</v>
      </c>
      <c r="L137" s="5" t="s">
        <v>32</v>
      </c>
      <c r="M137" s="5" t="s">
        <v>701</v>
      </c>
      <c r="N137" s="5" t="s">
        <v>32</v>
      </c>
      <c r="O137" s="5" t="s">
        <v>32</v>
      </c>
      <c r="P137" s="5" t="s">
        <v>36</v>
      </c>
      <c r="Q137" s="5" t="s">
        <v>36</v>
      </c>
      <c r="R137" s="5" t="s">
        <v>689</v>
      </c>
      <c r="S137" s="5" t="s">
        <v>32</v>
      </c>
      <c r="T137" s="5" t="s">
        <v>32</v>
      </c>
      <c r="U137" s="5" t="s">
        <v>32</v>
      </c>
      <c r="V137" s="8">
        <v>400000</v>
      </c>
      <c r="W137" s="5" t="s">
        <v>694</v>
      </c>
      <c r="X137" s="5" t="s">
        <v>32</v>
      </c>
    </row>
    <row r="138" spans="1:24" s="4" customFormat="1" x14ac:dyDescent="0.25">
      <c r="A138" s="5">
        <v>137</v>
      </c>
      <c r="B138" s="14" t="s">
        <v>686</v>
      </c>
      <c r="C138" s="5" t="s">
        <v>700</v>
      </c>
      <c r="D138" s="7" t="s">
        <v>26</v>
      </c>
      <c r="E138" s="5" t="s">
        <v>697</v>
      </c>
      <c r="F138" s="5" t="s">
        <v>81</v>
      </c>
      <c r="G138" s="5" t="s">
        <v>82</v>
      </c>
      <c r="H138" s="5" t="s">
        <v>30</v>
      </c>
      <c r="I138" s="5" t="s">
        <v>83</v>
      </c>
      <c r="J138" s="5" t="s">
        <v>32</v>
      </c>
      <c r="K138" s="5" t="s">
        <v>32</v>
      </c>
      <c r="L138" s="5" t="s">
        <v>32</v>
      </c>
      <c r="M138" s="5" t="s">
        <v>701</v>
      </c>
      <c r="N138" s="5" t="s">
        <v>32</v>
      </c>
      <c r="O138" s="5" t="s">
        <v>32</v>
      </c>
      <c r="P138" s="5" t="s">
        <v>36</v>
      </c>
      <c r="Q138" s="5" t="s">
        <v>36</v>
      </c>
      <c r="R138" s="5" t="s">
        <v>689</v>
      </c>
      <c r="S138" s="5" t="s">
        <v>32</v>
      </c>
      <c r="T138" s="5" t="s">
        <v>32</v>
      </c>
      <c r="U138" s="5" t="s">
        <v>32</v>
      </c>
      <c r="V138" s="8">
        <v>600000</v>
      </c>
      <c r="W138" s="5" t="s">
        <v>98</v>
      </c>
      <c r="X138" s="5" t="s">
        <v>702</v>
      </c>
    </row>
    <row r="139" spans="1:24" s="4" customFormat="1" x14ac:dyDescent="0.25">
      <c r="A139" s="5">
        <v>138</v>
      </c>
      <c r="B139" s="14" t="s">
        <v>686</v>
      </c>
      <c r="C139" s="5" t="s">
        <v>703</v>
      </c>
      <c r="D139" s="12" t="s">
        <v>466</v>
      </c>
      <c r="E139" s="5" t="s">
        <v>704</v>
      </c>
      <c r="F139" s="5" t="s">
        <v>158</v>
      </c>
      <c r="G139" s="5" t="s">
        <v>41</v>
      </c>
      <c r="H139" s="5" t="s">
        <v>30</v>
      </c>
      <c r="I139" s="5" t="s">
        <v>705</v>
      </c>
      <c r="J139" s="5" t="s">
        <v>32</v>
      </c>
      <c r="K139" s="5" t="s">
        <v>32</v>
      </c>
      <c r="L139" s="5" t="s">
        <v>32</v>
      </c>
      <c r="M139" s="5" t="s">
        <v>706</v>
      </c>
      <c r="N139" s="5" t="s">
        <v>707</v>
      </c>
      <c r="O139" s="5" t="s">
        <v>32</v>
      </c>
      <c r="P139" s="5" t="s">
        <v>36</v>
      </c>
      <c r="Q139" s="5" t="s">
        <v>36</v>
      </c>
      <c r="R139" s="5" t="s">
        <v>689</v>
      </c>
      <c r="S139" s="5" t="s">
        <v>32</v>
      </c>
      <c r="T139" s="5" t="s">
        <v>32</v>
      </c>
      <c r="U139" s="5" t="s">
        <v>32</v>
      </c>
      <c r="V139" s="8">
        <v>60000</v>
      </c>
      <c r="W139" s="5" t="s">
        <v>708</v>
      </c>
      <c r="X139" s="5" t="s">
        <v>709</v>
      </c>
    </row>
    <row r="140" spans="1:24" s="4" customFormat="1" x14ac:dyDescent="0.25">
      <c r="A140" s="5">
        <v>139</v>
      </c>
      <c r="B140" s="14" t="s">
        <v>686</v>
      </c>
      <c r="C140" s="5" t="s">
        <v>710</v>
      </c>
      <c r="D140" s="12" t="s">
        <v>466</v>
      </c>
      <c r="E140" s="5" t="s">
        <v>711</v>
      </c>
      <c r="F140" s="5" t="s">
        <v>272</v>
      </c>
      <c r="G140" s="5" t="s">
        <v>41</v>
      </c>
      <c r="H140" s="5" t="s">
        <v>140</v>
      </c>
      <c r="I140" s="5" t="s">
        <v>589</v>
      </c>
      <c r="J140" s="5" t="s">
        <v>712</v>
      </c>
      <c r="K140" s="5" t="s">
        <v>713</v>
      </c>
      <c r="L140" s="5" t="s">
        <v>714</v>
      </c>
      <c r="M140" s="5" t="s">
        <v>593</v>
      </c>
      <c r="N140" s="5" t="s">
        <v>715</v>
      </c>
      <c r="O140" s="5" t="s">
        <v>32</v>
      </c>
      <c r="P140" s="5" t="s">
        <v>36</v>
      </c>
      <c r="Q140" s="5" t="s">
        <v>36</v>
      </c>
      <c r="R140" s="5" t="s">
        <v>689</v>
      </c>
      <c r="S140" s="5" t="s">
        <v>32</v>
      </c>
      <c r="T140" s="5" t="s">
        <v>32</v>
      </c>
      <c r="U140" s="5" t="s">
        <v>32</v>
      </c>
      <c r="V140" s="8">
        <v>100000</v>
      </c>
      <c r="W140" s="5" t="s">
        <v>576</v>
      </c>
      <c r="X140" s="5" t="s">
        <v>716</v>
      </c>
    </row>
  </sheetData>
  <autoFilter ref="A1:X140"/>
  <dataValidations count="3">
    <dataValidation type="list" allowBlank="1" sqref="B2:B340">
      <formula1>"A,B,C,X"</formula1>
    </dataValidation>
    <dataValidation type="list" allowBlank="1" sqref="D2:D340">
      <formula1>"Свободен,Частично,Занят,Не клиент"</formula1>
    </dataValidation>
    <dataValidation type="list" allowBlank="1" sqref="R2:R340">
      <formula1>"NEW,В РАБОТЕ,ОТВЕТИЛ,ДЕМО,ПИЛОТ,СЧЁТ,ПЛАТИТ,ЗАМОРОЖЕН,ОТКАЗ,НЕ ТРОГАТЬ"</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1" width="26" customWidth="1"/>
    <col min="2" max="2" width="46" customWidth="1"/>
    <col min="3" max="3" width="44" customWidth="1"/>
    <col min="4" max="4" width="40" customWidth="1"/>
    <col min="5" max="5" width="50" customWidth="1"/>
  </cols>
  <sheetData>
    <row r="1" ht="32" customHeight="1" spans="1:5" s="2" customFormat="1" x14ac:dyDescent="0.25">
      <c r="A1" s="2" t="s">
        <v>717</v>
      </c>
      <c r="B1" s="2" t="s">
        <v>718</v>
      </c>
      <c r="C1" s="2" t="s">
        <v>719</v>
      </c>
      <c r="D1" s="2" t="s">
        <v>720</v>
      </c>
      <c r="E1" s="2" t="s">
        <v>721</v>
      </c>
    </row>
    <row r="2" spans="1:5" s="4" customFormat="1" x14ac:dyDescent="0.25">
      <c r="A2" s="5" t="s">
        <v>722</v>
      </c>
      <c r="B2" s="5" t="s">
        <v>723</v>
      </c>
      <c r="C2" s="5" t="s">
        <v>724</v>
      </c>
      <c r="D2" s="5" t="s">
        <v>725</v>
      </c>
      <c r="E2" s="5" t="s">
        <v>726</v>
      </c>
    </row>
    <row r="3" spans="1:5" s="4" customFormat="1" x14ac:dyDescent="0.25">
      <c r="A3" s="5" t="s">
        <v>727</v>
      </c>
      <c r="B3" s="5" t="s">
        <v>728</v>
      </c>
      <c r="C3" s="5" t="s">
        <v>729</v>
      </c>
      <c r="D3" s="5" t="s">
        <v>730</v>
      </c>
      <c r="E3" s="5" t="s">
        <v>731</v>
      </c>
    </row>
    <row r="4" spans="1:5" s="4" customFormat="1" x14ac:dyDescent="0.25">
      <c r="A4" s="5" t="s">
        <v>732</v>
      </c>
      <c r="B4" s="5" t="s">
        <v>733</v>
      </c>
      <c r="C4" s="5" t="s">
        <v>734</v>
      </c>
      <c r="D4" s="5" t="s">
        <v>735</v>
      </c>
      <c r="E4" s="5" t="s">
        <v>736</v>
      </c>
    </row>
    <row r="5" spans="1:5" s="4" customFormat="1" x14ac:dyDescent="0.25">
      <c r="A5" s="5" t="s">
        <v>737</v>
      </c>
      <c r="B5" s="5" t="s">
        <v>738</v>
      </c>
      <c r="C5" s="5" t="s">
        <v>739</v>
      </c>
      <c r="D5" s="5" t="s">
        <v>740</v>
      </c>
      <c r="E5" s="5" t="s">
        <v>741</v>
      </c>
    </row>
    <row r="6" spans="1:5" s="4" customFormat="1" x14ac:dyDescent="0.25">
      <c r="A6" s="5" t="s">
        <v>742</v>
      </c>
      <c r="B6" s="5" t="s">
        <v>743</v>
      </c>
      <c r="C6" s="5" t="s">
        <v>744</v>
      </c>
      <c r="D6" s="5" t="s">
        <v>745</v>
      </c>
      <c r="E6" s="5" t="s">
        <v>746</v>
      </c>
    </row>
    <row r="7" spans="1:5" s="4" customFormat="1" x14ac:dyDescent="0.25">
      <c r="A7" s="5" t="s">
        <v>747</v>
      </c>
      <c r="B7" s="5" t="s">
        <v>748</v>
      </c>
      <c r="C7" s="5" t="s">
        <v>749</v>
      </c>
      <c r="D7" s="5" t="s">
        <v>750</v>
      </c>
      <c r="E7" s="5" t="s">
        <v>751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14" customWidth="1"/>
    <col min="2" max="2" width="38" customWidth="1"/>
    <col min="3" max="3" width="62" customWidth="1"/>
    <col min="4" max="4" width="20" customWidth="1"/>
    <col min="5" max="5" width="26" customWidth="1"/>
  </cols>
  <sheetData>
    <row r="1" ht="32" customHeight="1" spans="1:5" s="2" customFormat="1" x14ac:dyDescent="0.25">
      <c r="A1" s="2" t="s">
        <v>17</v>
      </c>
      <c r="B1" s="2" t="s">
        <v>752</v>
      </c>
      <c r="C1" s="2" t="s">
        <v>753</v>
      </c>
      <c r="D1" s="2" t="s">
        <v>754</v>
      </c>
      <c r="E1" s="2" t="s">
        <v>755</v>
      </c>
    </row>
    <row r="2" spans="1:5" s="4" customFormat="1" x14ac:dyDescent="0.25">
      <c r="A2" s="5" t="s">
        <v>35</v>
      </c>
      <c r="B2" s="5" t="s">
        <v>756</v>
      </c>
      <c r="C2" s="5" t="s">
        <v>757</v>
      </c>
      <c r="D2" s="5" t="s">
        <v>758</v>
      </c>
      <c r="E2" s="5" t="s">
        <v>759</v>
      </c>
    </row>
    <row r="3" spans="1:5" s="4" customFormat="1" x14ac:dyDescent="0.25">
      <c r="A3" s="5" t="s">
        <v>760</v>
      </c>
      <c r="B3" s="5" t="s">
        <v>761</v>
      </c>
      <c r="C3" s="5" t="s">
        <v>762</v>
      </c>
      <c r="D3" s="5" t="s">
        <v>763</v>
      </c>
      <c r="E3" s="5" t="s">
        <v>764</v>
      </c>
    </row>
    <row r="4" spans="1:5" s="4" customFormat="1" x14ac:dyDescent="0.25">
      <c r="A4" s="5" t="s">
        <v>765</v>
      </c>
      <c r="B4" s="5" t="s">
        <v>766</v>
      </c>
      <c r="C4" s="5" t="s">
        <v>767</v>
      </c>
      <c r="D4" s="5" t="s">
        <v>768</v>
      </c>
      <c r="E4" s="5" t="s">
        <v>769</v>
      </c>
    </row>
    <row r="5" spans="1:5" s="4" customFormat="1" x14ac:dyDescent="0.25">
      <c r="A5" s="5" t="s">
        <v>770</v>
      </c>
      <c r="B5" s="5" t="s">
        <v>771</v>
      </c>
      <c r="C5" s="5" t="s">
        <v>772</v>
      </c>
      <c r="D5" s="5" t="s">
        <v>773</v>
      </c>
      <c r="E5" s="5" t="s">
        <v>774</v>
      </c>
    </row>
    <row r="6" spans="1:5" s="4" customFormat="1" x14ac:dyDescent="0.25">
      <c r="A6" s="5" t="s">
        <v>775</v>
      </c>
      <c r="B6" s="5" t="s">
        <v>776</v>
      </c>
      <c r="C6" s="5" t="s">
        <v>777</v>
      </c>
      <c r="D6" s="5" t="s">
        <v>778</v>
      </c>
      <c r="E6" s="5" t="s">
        <v>779</v>
      </c>
    </row>
    <row r="7" spans="1:5" s="4" customFormat="1" x14ac:dyDescent="0.25">
      <c r="A7" s="5" t="s">
        <v>780</v>
      </c>
      <c r="B7" s="5" t="s">
        <v>781</v>
      </c>
      <c r="C7" s="5" t="s">
        <v>782</v>
      </c>
      <c r="D7" s="5" t="s">
        <v>783</v>
      </c>
      <c r="E7" s="5" t="s">
        <v>784</v>
      </c>
    </row>
    <row r="8" spans="1:5" s="4" customFormat="1" x14ac:dyDescent="0.25">
      <c r="A8" s="5" t="s">
        <v>785</v>
      </c>
      <c r="B8" s="5" t="s">
        <v>786</v>
      </c>
      <c r="C8" s="5" t="s">
        <v>787</v>
      </c>
      <c r="D8" s="5" t="s">
        <v>788</v>
      </c>
      <c r="E8" s="5" t="s">
        <v>789</v>
      </c>
    </row>
    <row r="9" spans="1:5" s="4" customFormat="1" x14ac:dyDescent="0.25">
      <c r="A9" s="5" t="s">
        <v>790</v>
      </c>
      <c r="B9" s="5" t="s">
        <v>791</v>
      </c>
      <c r="C9" s="5" t="s">
        <v>792</v>
      </c>
      <c r="D9" s="5" t="s">
        <v>793</v>
      </c>
      <c r="E9" s="5" t="s">
        <v>794</v>
      </c>
    </row>
    <row r="10" spans="1:5" s="4" customFormat="1" x14ac:dyDescent="0.25">
      <c r="A10" s="5" t="s">
        <v>795</v>
      </c>
      <c r="B10" s="5" t="s">
        <v>796</v>
      </c>
      <c r="C10" s="5" t="s">
        <v>797</v>
      </c>
      <c r="D10" s="5" t="s">
        <v>36</v>
      </c>
      <c r="E10" s="5" t="s">
        <v>36</v>
      </c>
    </row>
    <row r="11" spans="1:5" s="4" customFormat="1" x14ac:dyDescent="0.25">
      <c r="A11" s="5" t="s">
        <v>689</v>
      </c>
      <c r="B11" s="5" t="s">
        <v>798</v>
      </c>
      <c r="C11" s="5" t="s">
        <v>799</v>
      </c>
      <c r="D11" s="5" t="s">
        <v>36</v>
      </c>
      <c r="E11" s="5" t="s">
        <v>36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15" customWidth="1"/>
    <col min="2" max="2" width="30" customWidth="1"/>
    <col min="3" max="3" width="18" customWidth="1"/>
    <col min="4" max="4" width="112" customWidth="1"/>
  </cols>
  <sheetData>
    <row r="1" ht="32" customHeight="1" spans="1:4" s="2" customFormat="1" x14ac:dyDescent="0.25">
      <c r="A1" s="2" t="s">
        <v>800</v>
      </c>
      <c r="B1" s="2" t="s">
        <v>801</v>
      </c>
      <c r="C1" s="2" t="s">
        <v>471</v>
      </c>
      <c r="D1" s="2" t="s">
        <v>802</v>
      </c>
    </row>
    <row r="2" spans="1:4" s="4" customFormat="1" x14ac:dyDescent="0.25">
      <c r="A2" s="5" t="s">
        <v>162</v>
      </c>
      <c r="B2" s="5" t="s">
        <v>803</v>
      </c>
      <c r="C2" s="5" t="s">
        <v>804</v>
      </c>
      <c r="D2" s="5" t="s">
        <v>805</v>
      </c>
    </row>
    <row r="3" spans="1:4" s="4" customFormat="1" x14ac:dyDescent="0.25">
      <c r="A3" s="5" t="s">
        <v>286</v>
      </c>
      <c r="B3" s="5" t="s">
        <v>806</v>
      </c>
      <c r="C3" s="5" t="s">
        <v>807</v>
      </c>
      <c r="D3" s="5" t="s">
        <v>808</v>
      </c>
    </row>
    <row r="4" spans="1:4" s="4" customFormat="1" x14ac:dyDescent="0.25">
      <c r="A4" s="5" t="s">
        <v>468</v>
      </c>
      <c r="B4" s="5" t="s">
        <v>809</v>
      </c>
      <c r="C4" s="5" t="s">
        <v>810</v>
      </c>
      <c r="D4" s="5" t="s">
        <v>811</v>
      </c>
    </row>
    <row r="5" spans="1:4" s="4" customFormat="1" x14ac:dyDescent="0.25">
      <c r="A5" s="5" t="s">
        <v>86</v>
      </c>
      <c r="B5" s="5" t="s">
        <v>812</v>
      </c>
      <c r="C5" s="5" t="s">
        <v>813</v>
      </c>
      <c r="D5" s="5" t="s">
        <v>814</v>
      </c>
    </row>
    <row r="6" spans="1:4" s="4" customFormat="1" x14ac:dyDescent="0.25">
      <c r="A6" s="5" t="s">
        <v>65</v>
      </c>
      <c r="B6" s="5" t="s">
        <v>815</v>
      </c>
      <c r="C6" s="5" t="s">
        <v>816</v>
      </c>
      <c r="D6" s="5" t="s">
        <v>817</v>
      </c>
    </row>
    <row r="7" spans="1:4" s="4" customFormat="1" x14ac:dyDescent="0.25">
      <c r="A7" s="5" t="s">
        <v>219</v>
      </c>
      <c r="B7" s="5" t="s">
        <v>818</v>
      </c>
      <c r="C7" s="5" t="s">
        <v>819</v>
      </c>
      <c r="D7" s="5" t="s">
        <v>820</v>
      </c>
    </row>
    <row r="8" spans="1:4" s="4" customFormat="1" x14ac:dyDescent="0.25">
      <c r="A8" s="5" t="s">
        <v>45</v>
      </c>
      <c r="B8" s="5" t="s">
        <v>821</v>
      </c>
      <c r="C8" s="5" t="s">
        <v>822</v>
      </c>
      <c r="D8" s="5" t="s">
        <v>823</v>
      </c>
    </row>
    <row r="9" spans="1:4" s="4" customFormat="1" x14ac:dyDescent="0.25">
      <c r="A9" s="5" t="s">
        <v>303</v>
      </c>
      <c r="B9" s="5" t="s">
        <v>824</v>
      </c>
      <c r="C9" s="5" t="s">
        <v>825</v>
      </c>
      <c r="D9" s="5" t="s">
        <v>826</v>
      </c>
    </row>
    <row r="10" spans="1:4" s="4" customFormat="1" x14ac:dyDescent="0.25">
      <c r="A10" s="5" t="s">
        <v>34</v>
      </c>
      <c r="B10" s="5" t="s">
        <v>827</v>
      </c>
      <c r="C10" s="5" t="s">
        <v>302</v>
      </c>
      <c r="D10" s="5" t="s">
        <v>828</v>
      </c>
    </row>
    <row r="11" spans="1:4" s="4" customFormat="1" x14ac:dyDescent="0.25">
      <c r="A11" s="5" t="s">
        <v>476</v>
      </c>
      <c r="B11" s="5" t="s">
        <v>829</v>
      </c>
      <c r="C11" s="5" t="s">
        <v>14</v>
      </c>
      <c r="D11" s="5" t="s">
        <v>830</v>
      </c>
    </row>
    <row r="12" spans="1:4" s="4" customFormat="1" x14ac:dyDescent="0.25">
      <c r="A12" s="5" t="s">
        <v>831</v>
      </c>
      <c r="B12" s="5" t="s">
        <v>832</v>
      </c>
      <c r="C12" s="5" t="s">
        <v>10</v>
      </c>
      <c r="D12" s="5" t="s">
        <v>833</v>
      </c>
    </row>
    <row r="13" spans="1:4" s="4" customFormat="1" x14ac:dyDescent="0.25">
      <c r="A13" s="5" t="s">
        <v>834</v>
      </c>
      <c r="B13" s="5" t="s">
        <v>835</v>
      </c>
      <c r="C13" s="5" t="s">
        <v>836</v>
      </c>
      <c r="D13" s="5" t="s">
        <v>837</v>
      </c>
    </row>
    <row r="14" spans="1:4" s="4" customFormat="1" x14ac:dyDescent="0.25">
      <c r="A14" s="5" t="s">
        <v>838</v>
      </c>
      <c r="B14" s="5" t="s">
        <v>839</v>
      </c>
      <c r="C14" s="5" t="s">
        <v>836</v>
      </c>
      <c r="D14" s="5" t="s">
        <v>840</v>
      </c>
    </row>
    <row r="15" spans="1:4" s="4" customFormat="1" x14ac:dyDescent="0.25">
      <c r="A15" s="5" t="s">
        <v>841</v>
      </c>
      <c r="B15" s="5" t="s">
        <v>842</v>
      </c>
      <c r="C15" s="5" t="s">
        <v>836</v>
      </c>
      <c r="D15" s="5" t="s">
        <v>843</v>
      </c>
    </row>
    <row r="16" spans="1:4" s="4" customFormat="1" x14ac:dyDescent="0.25">
      <c r="A16" s="5" t="s">
        <v>844</v>
      </c>
      <c r="B16" s="5" t="s">
        <v>845</v>
      </c>
      <c r="C16" s="5" t="s">
        <v>836</v>
      </c>
      <c r="D16" s="5" t="s">
        <v>846</v>
      </c>
    </row>
    <row r="17" spans="1:4" s="4" customFormat="1" x14ac:dyDescent="0.25">
      <c r="A17" s="5" t="s">
        <v>847</v>
      </c>
      <c r="B17" s="5" t="s">
        <v>848</v>
      </c>
      <c r="C17" s="5" t="s">
        <v>836</v>
      </c>
      <c r="D17" s="5" t="s">
        <v>849</v>
      </c>
    </row>
    <row r="18" spans="1:4" s="4" customFormat="1" x14ac:dyDescent="0.25">
      <c r="A18" s="5" t="s">
        <v>850</v>
      </c>
      <c r="B18" s="5" t="s">
        <v>851</v>
      </c>
      <c r="C18" s="5" t="s">
        <v>198</v>
      </c>
      <c r="D18" s="5" t="s">
        <v>852</v>
      </c>
    </row>
    <row r="19" spans="1:4" s="4" customFormat="1" x14ac:dyDescent="0.25">
      <c r="A19" s="5" t="s">
        <v>853</v>
      </c>
      <c r="B19" s="5" t="s">
        <v>854</v>
      </c>
      <c r="C19" s="5" t="s">
        <v>855</v>
      </c>
      <c r="D19" s="5" t="s">
        <v>856</v>
      </c>
    </row>
    <row r="20" spans="1:4" s="4" customFormat="1" x14ac:dyDescent="0.25">
      <c r="A20" s="5" t="s">
        <v>857</v>
      </c>
      <c r="B20" s="5" t="s">
        <v>858</v>
      </c>
      <c r="C20" s="5" t="s">
        <v>198</v>
      </c>
      <c r="D20" s="5" t="s">
        <v>859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8" customWidth="1"/>
    <col min="2" max="2" width="66" customWidth="1"/>
    <col min="3" max="3" width="44" customWidth="1"/>
    <col min="4" max="4" width="10" customWidth="1"/>
  </cols>
  <sheetData>
    <row r="1" ht="32" customHeight="1" spans="1:4" s="2" customFormat="1" x14ac:dyDescent="0.25">
      <c r="A1" s="2" t="s">
        <v>860</v>
      </c>
      <c r="B1" s="2" t="s">
        <v>861</v>
      </c>
      <c r="C1" s="2" t="s">
        <v>862</v>
      </c>
      <c r="D1" s="2" t="s">
        <v>863</v>
      </c>
    </row>
    <row r="2" spans="1:4" s="4" customFormat="1" x14ac:dyDescent="0.25">
      <c r="A2" s="5" t="s">
        <v>36</v>
      </c>
      <c r="B2" s="5" t="s">
        <v>864</v>
      </c>
      <c r="C2" s="5" t="s">
        <v>32</v>
      </c>
      <c r="D2" s="5" t="s">
        <v>32</v>
      </c>
    </row>
    <row r="3" spans="1:4" s="4" customFormat="1" x14ac:dyDescent="0.25">
      <c r="A3" s="5" t="s">
        <v>36</v>
      </c>
      <c r="B3" s="5" t="s">
        <v>865</v>
      </c>
      <c r="C3" s="5" t="s">
        <v>32</v>
      </c>
      <c r="D3" s="5" t="s">
        <v>32</v>
      </c>
    </row>
    <row r="4" spans="1:4" s="4" customFormat="1" x14ac:dyDescent="0.25">
      <c r="A4" s="5" t="s">
        <v>866</v>
      </c>
      <c r="B4" s="5" t="s">
        <v>867</v>
      </c>
      <c r="C4" s="5" t="s">
        <v>868</v>
      </c>
      <c r="D4" s="5" t="s">
        <v>32</v>
      </c>
    </row>
    <row r="5" spans="1:4" s="4" customFormat="1" x14ac:dyDescent="0.25">
      <c r="A5" s="5" t="s">
        <v>866</v>
      </c>
      <c r="B5" s="5" t="s">
        <v>869</v>
      </c>
      <c r="C5" s="5" t="s">
        <v>870</v>
      </c>
      <c r="D5" s="5" t="s">
        <v>32</v>
      </c>
    </row>
    <row r="6" spans="1:4" s="4" customFormat="1" x14ac:dyDescent="0.25">
      <c r="A6" s="5" t="s">
        <v>871</v>
      </c>
      <c r="B6" s="5" t="s">
        <v>872</v>
      </c>
      <c r="C6" s="5" t="s">
        <v>873</v>
      </c>
      <c r="D6" s="5" t="s">
        <v>32</v>
      </c>
    </row>
    <row r="7" spans="1:4" s="4" customFormat="1" x14ac:dyDescent="0.25">
      <c r="A7" s="5" t="s">
        <v>871</v>
      </c>
      <c r="B7" s="5" t="s">
        <v>874</v>
      </c>
      <c r="C7" s="5" t="s">
        <v>875</v>
      </c>
      <c r="D7" s="5" t="s">
        <v>32</v>
      </c>
    </row>
    <row r="8" spans="1:4" s="4" customFormat="1" x14ac:dyDescent="0.25">
      <c r="A8" s="5" t="s">
        <v>876</v>
      </c>
      <c r="B8" s="5" t="s">
        <v>877</v>
      </c>
      <c r="C8" s="5" t="s">
        <v>878</v>
      </c>
      <c r="D8" s="5" t="s">
        <v>32</v>
      </c>
    </row>
    <row r="9" spans="1:4" s="4" customFormat="1" x14ac:dyDescent="0.25">
      <c r="A9" s="5" t="s">
        <v>879</v>
      </c>
      <c r="B9" s="5" t="s">
        <v>880</v>
      </c>
      <c r="C9" s="5" t="s">
        <v>881</v>
      </c>
      <c r="D9" s="5" t="s">
        <v>32</v>
      </c>
    </row>
    <row r="10" spans="1:4" s="4" customFormat="1" x14ac:dyDescent="0.25">
      <c r="A10" s="5" t="s">
        <v>882</v>
      </c>
      <c r="B10" s="5" t="s">
        <v>883</v>
      </c>
      <c r="C10" s="5" t="s">
        <v>884</v>
      </c>
      <c r="D10" s="5" t="s">
        <v>32</v>
      </c>
    </row>
    <row r="11" spans="1:4" s="4" customFormat="1" x14ac:dyDescent="0.25">
      <c r="A11" s="5" t="s">
        <v>885</v>
      </c>
      <c r="B11" s="5" t="s">
        <v>886</v>
      </c>
      <c r="C11" s="5" t="s">
        <v>887</v>
      </c>
      <c r="D11" s="5" t="s">
        <v>32</v>
      </c>
    </row>
    <row r="12" spans="1:4" s="4" customFormat="1" x14ac:dyDescent="0.25">
      <c r="A12" s="5" t="s">
        <v>888</v>
      </c>
      <c r="B12" s="5" t="s">
        <v>889</v>
      </c>
      <c r="C12" s="5" t="s">
        <v>890</v>
      </c>
      <c r="D12" s="5" t="s">
        <v>32</v>
      </c>
    </row>
    <row r="13" spans="1:4" s="4" customFormat="1" x14ac:dyDescent="0.25">
      <c r="A13" s="5" t="s">
        <v>891</v>
      </c>
      <c r="B13" s="5" t="s">
        <v>892</v>
      </c>
      <c r="C13" s="5" t="s">
        <v>893</v>
      </c>
      <c r="D13" s="5" t="s">
        <v>32</v>
      </c>
    </row>
    <row r="14" spans="1:4" s="4" customFormat="1" x14ac:dyDescent="0.25">
      <c r="A14" s="5" t="s">
        <v>894</v>
      </c>
      <c r="B14" s="5" t="s">
        <v>895</v>
      </c>
      <c r="C14" s="5" t="s">
        <v>896</v>
      </c>
      <c r="D14" s="5" t="s">
        <v>32</v>
      </c>
    </row>
    <row r="15" spans="1:4" s="4" customFormat="1" x14ac:dyDescent="0.25">
      <c r="A15" s="5" t="s">
        <v>897</v>
      </c>
      <c r="B15" s="5" t="s">
        <v>898</v>
      </c>
      <c r="C15" s="5" t="s">
        <v>899</v>
      </c>
      <c r="D15" s="5" t="s">
        <v>32</v>
      </c>
    </row>
    <row r="16" spans="1:4" s="4" customFormat="1" x14ac:dyDescent="0.25">
      <c r="A16" s="5" t="s">
        <v>900</v>
      </c>
      <c r="B16" s="5" t="s">
        <v>901</v>
      </c>
      <c r="C16" s="5" t="s">
        <v>902</v>
      </c>
      <c r="D16" s="5" t="s">
        <v>32</v>
      </c>
    </row>
    <row r="17" spans="1:4" s="4" customFormat="1" x14ac:dyDescent="0.25">
      <c r="A17" s="5" t="s">
        <v>903</v>
      </c>
      <c r="B17" s="5" t="s">
        <v>904</v>
      </c>
      <c r="C17" s="5" t="s">
        <v>905</v>
      </c>
      <c r="D17" s="5" t="s">
        <v>32</v>
      </c>
    </row>
    <row r="18" spans="1:4" s="4" customFormat="1" x14ac:dyDescent="0.25">
      <c r="A18" s="5" t="s">
        <v>906</v>
      </c>
      <c r="B18" s="5" t="s">
        <v>907</v>
      </c>
      <c r="C18" s="5" t="s">
        <v>908</v>
      </c>
      <c r="D18" s="5" t="s">
        <v>32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30" customWidth="1"/>
    <col min="2" max="2" width="64" customWidth="1"/>
    <col min="3" max="3" width="30" customWidth="1"/>
    <col min="4" max="4" width="20" customWidth="1"/>
    <col min="5" max="5" width="18" customWidth="1"/>
  </cols>
  <sheetData>
    <row r="1" ht="32" customHeight="1" spans="1:5" s="2" customFormat="1" x14ac:dyDescent="0.25">
      <c r="A1" s="2" t="s">
        <v>909</v>
      </c>
      <c r="B1" s="2" t="s">
        <v>910</v>
      </c>
      <c r="C1" s="2" t="s">
        <v>911</v>
      </c>
      <c r="D1" s="2" t="s">
        <v>912</v>
      </c>
      <c r="E1" s="2" t="s">
        <v>913</v>
      </c>
    </row>
    <row r="2" spans="1:5" s="4" customFormat="1" x14ac:dyDescent="0.25">
      <c r="A2" s="5" t="s">
        <v>914</v>
      </c>
      <c r="B2" s="5" t="s">
        <v>915</v>
      </c>
      <c r="C2" s="5" t="s">
        <v>916</v>
      </c>
      <c r="D2" s="5" t="s">
        <v>917</v>
      </c>
      <c r="E2" s="5" t="s">
        <v>918</v>
      </c>
    </row>
    <row r="3" spans="1:5" s="4" customFormat="1" x14ac:dyDescent="0.25">
      <c r="A3" s="5" t="s">
        <v>919</v>
      </c>
      <c r="B3" s="5" t="s">
        <v>920</v>
      </c>
      <c r="C3" s="5" t="s">
        <v>921</v>
      </c>
      <c r="D3" s="5" t="s">
        <v>922</v>
      </c>
      <c r="E3" s="5" t="s">
        <v>923</v>
      </c>
    </row>
    <row r="4" spans="1:5" s="4" customFormat="1" x14ac:dyDescent="0.25">
      <c r="A4" s="5" t="s">
        <v>924</v>
      </c>
      <c r="B4" s="5" t="s">
        <v>925</v>
      </c>
      <c r="C4" s="5" t="s">
        <v>926</v>
      </c>
      <c r="D4" s="5" t="s">
        <v>927</v>
      </c>
      <c r="E4" s="5" t="s">
        <v>928</v>
      </c>
    </row>
    <row r="5" spans="1:5" s="4" customFormat="1" x14ac:dyDescent="0.25">
      <c r="A5" s="5" t="s">
        <v>929</v>
      </c>
      <c r="B5" s="5" t="s">
        <v>930</v>
      </c>
      <c r="C5" s="5" t="s">
        <v>931</v>
      </c>
      <c r="D5" s="5" t="s">
        <v>932</v>
      </c>
      <c r="E5" s="5" t="s">
        <v>933</v>
      </c>
    </row>
    <row r="6" spans="1:5" s="4" customFormat="1" x14ac:dyDescent="0.25">
      <c r="A6" s="5" t="s">
        <v>934</v>
      </c>
      <c r="B6" s="5" t="s">
        <v>935</v>
      </c>
      <c r="C6" s="5" t="s">
        <v>936</v>
      </c>
      <c r="D6" s="5" t="s">
        <v>937</v>
      </c>
      <c r="E6" s="5" t="s">
        <v>938</v>
      </c>
    </row>
    <row r="7" spans="1:5" s="4" customFormat="1" x14ac:dyDescent="0.25">
      <c r="A7" s="5" t="s">
        <v>939</v>
      </c>
      <c r="B7" s="5" t="s">
        <v>940</v>
      </c>
      <c r="C7" s="5" t="s">
        <v>941</v>
      </c>
      <c r="D7" s="5" t="s">
        <v>942</v>
      </c>
      <c r="E7" s="5" t="s">
        <v>928</v>
      </c>
    </row>
    <row r="8" spans="1:5" s="4" customFormat="1" x14ac:dyDescent="0.25">
      <c r="A8" s="5" t="s">
        <v>943</v>
      </c>
      <c r="B8" s="5" t="s">
        <v>944</v>
      </c>
      <c r="C8" s="5" t="s">
        <v>945</v>
      </c>
      <c r="D8" s="5" t="s">
        <v>946</v>
      </c>
      <c r="E8" s="5" t="s">
        <v>947</v>
      </c>
    </row>
    <row r="10" spans="1:5" s="4" customFormat="1" x14ac:dyDescent="0.25">
      <c r="A10" s="5" t="s">
        <v>948</v>
      </c>
      <c r="B10" s="5" t="s">
        <v>949</v>
      </c>
      <c r="C10" s="5" t="s">
        <v>32</v>
      </c>
      <c r="D10" s="5" t="s">
        <v>32</v>
      </c>
      <c r="E10" s="5" t="s">
        <v>32</v>
      </c>
    </row>
    <row r="11" spans="1:5" s="4" customFormat="1" x14ac:dyDescent="0.25">
      <c r="A11" s="5" t="s">
        <v>950</v>
      </c>
      <c r="B11" s="5" t="s">
        <v>951</v>
      </c>
      <c r="C11" s="5" t="s">
        <v>32</v>
      </c>
      <c r="D11" s="5" t="s">
        <v>32</v>
      </c>
      <c r="E11" s="5" t="s">
        <v>32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FormatPr defaultRowHeight="15" outlineLevelRow="0" outlineLevelCol="0" x14ac:dyDescent="55"/>
  <cols>
    <col min="1" max="1" width="22" customWidth="1"/>
    <col min="2" max="2" width="48" customWidth="1"/>
    <col min="3" max="3" width="88" customWidth="1"/>
    <col min="4" max="4" width="20" customWidth="1"/>
  </cols>
  <sheetData>
    <row r="1" ht="32" customHeight="1" spans="1:4" s="2" customFormat="1" x14ac:dyDescent="0.25">
      <c r="A1" s="2" t="s">
        <v>952</v>
      </c>
      <c r="B1" s="2" t="s">
        <v>953</v>
      </c>
      <c r="C1" s="2" t="s">
        <v>954</v>
      </c>
      <c r="D1" s="2" t="s">
        <v>955</v>
      </c>
    </row>
    <row r="2" spans="1:4" s="4" customFormat="1" x14ac:dyDescent="0.25">
      <c r="A2" s="5" t="s">
        <v>956</v>
      </c>
      <c r="B2" s="5" t="s">
        <v>957</v>
      </c>
      <c r="C2" s="5" t="s">
        <v>958</v>
      </c>
      <c r="D2" s="5" t="s">
        <v>959</v>
      </c>
    </row>
    <row r="3" spans="1:4" s="4" customFormat="1" x14ac:dyDescent="0.25">
      <c r="A3" s="5" t="s">
        <v>960</v>
      </c>
      <c r="B3" s="5" t="s">
        <v>961</v>
      </c>
      <c r="C3" s="5" t="s">
        <v>962</v>
      </c>
      <c r="D3" s="5" t="s">
        <v>959</v>
      </c>
    </row>
    <row r="4" spans="1:4" s="4" customFormat="1" x14ac:dyDescent="0.25">
      <c r="A4" s="5" t="s">
        <v>963</v>
      </c>
      <c r="B4" s="5" t="s">
        <v>964</v>
      </c>
      <c r="C4" s="5" t="s">
        <v>965</v>
      </c>
      <c r="D4" s="5" t="s">
        <v>959</v>
      </c>
    </row>
    <row r="5" spans="1:4" s="4" customFormat="1" x14ac:dyDescent="0.25">
      <c r="A5" s="5" t="s">
        <v>966</v>
      </c>
      <c r="B5" s="5" t="s">
        <v>967</v>
      </c>
      <c r="C5" s="5" t="s">
        <v>968</v>
      </c>
      <c r="D5" s="5" t="s">
        <v>959</v>
      </c>
    </row>
    <row r="6" spans="1:4" s="4" customFormat="1" x14ac:dyDescent="0.25">
      <c r="A6" s="5" t="s">
        <v>969</v>
      </c>
      <c r="B6" s="5" t="s">
        <v>970</v>
      </c>
      <c r="C6" s="5" t="s">
        <v>971</v>
      </c>
      <c r="D6" s="5" t="s">
        <v>959</v>
      </c>
    </row>
    <row r="7" spans="1:4" s="4" customFormat="1" x14ac:dyDescent="0.25">
      <c r="A7" s="5" t="s">
        <v>972</v>
      </c>
      <c r="B7" s="5" t="s">
        <v>973</v>
      </c>
      <c r="C7" s="5" t="s">
        <v>974</v>
      </c>
      <c r="D7" s="5" t="s">
        <v>975</v>
      </c>
    </row>
    <row r="8" spans="1:4" s="4" customFormat="1" x14ac:dyDescent="0.25">
      <c r="A8" s="5" t="s">
        <v>296</v>
      </c>
      <c r="B8" s="5" t="s">
        <v>976</v>
      </c>
      <c r="C8" s="5" t="s">
        <v>977</v>
      </c>
      <c r="D8" s="5" t="s">
        <v>978</v>
      </c>
    </row>
    <row r="9" spans="1:4" s="4" customFormat="1" x14ac:dyDescent="0.25">
      <c r="A9" s="5" t="s">
        <v>357</v>
      </c>
      <c r="B9" s="5" t="s">
        <v>979</v>
      </c>
      <c r="C9" s="5" t="s">
        <v>980</v>
      </c>
      <c r="D9" s="5" t="s">
        <v>959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36" customWidth="1"/>
    <col min="2" max="2" width="16" customWidth="1"/>
    <col min="3" max="3" width="18" customWidth="1"/>
    <col min="4" max="4" width="62" customWidth="1"/>
  </cols>
  <sheetData>
    <row r="1" ht="32" customHeight="1" spans="1:4" s="2" customFormat="1" x14ac:dyDescent="0.25">
      <c r="A1" s="2" t="s">
        <v>981</v>
      </c>
      <c r="B1" s="2" t="s">
        <v>982</v>
      </c>
      <c r="C1" s="2" t="s">
        <v>983</v>
      </c>
      <c r="D1" s="2" t="s">
        <v>984</v>
      </c>
    </row>
    <row r="2" spans="1:4" s="4" customFormat="1" x14ac:dyDescent="0.25">
      <c r="A2" s="5" t="s">
        <v>985</v>
      </c>
      <c r="B2" s="5">
        <f>COUNTA(Лиды!C2:C1000)</f>
        <v>139</v>
      </c>
      <c r="C2" s="5">
        <v>139</v>
      </c>
      <c r="D2" s="5" t="s">
        <v>986</v>
      </c>
    </row>
    <row r="3" spans="1:4" s="4" customFormat="1" x14ac:dyDescent="0.25">
      <c r="A3" s="5" t="s">
        <v>26</v>
      </c>
      <c r="B3" s="5">
        <f>COUNTIF(Лиды!D2:D1000,"Свободен")</f>
        <v>87</v>
      </c>
      <c r="C3" s="5" t="s">
        <v>36</v>
      </c>
      <c r="D3" s="5" t="s">
        <v>987</v>
      </c>
    </row>
    <row r="4" spans="1:4" s="4" customFormat="1" x14ac:dyDescent="0.25">
      <c r="A4" s="5" t="s">
        <v>279</v>
      </c>
      <c r="B4" s="5">
        <f>COUNTIF(Лиды!D2:D1000,"Частично")</f>
        <v>13</v>
      </c>
      <c r="C4" s="5" t="s">
        <v>36</v>
      </c>
      <c r="D4" s="5" t="s">
        <v>988</v>
      </c>
    </row>
    <row r="5" spans="1:4" s="4" customFormat="1" x14ac:dyDescent="0.25">
      <c r="A5" s="5" t="s">
        <v>466</v>
      </c>
      <c r="B5" s="5">
        <f>COUNTIF(Лиды!D2:D1000,"Занят")</f>
        <v>33</v>
      </c>
      <c r="C5" s="5" t="s">
        <v>36</v>
      </c>
      <c r="D5" s="5" t="s">
        <v>989</v>
      </c>
    </row>
    <row r="6" spans="1:4" s="4" customFormat="1" x14ac:dyDescent="0.25">
      <c r="A6" s="5" t="s">
        <v>294</v>
      </c>
      <c r="B6" s="5">
        <f>COUNTIF(Лиды!D2:D1000,"Не клиент")</f>
        <v>6</v>
      </c>
      <c r="C6" s="5" t="s">
        <v>36</v>
      </c>
      <c r="D6" s="5" t="s">
        <v>990</v>
      </c>
    </row>
    <row r="7" spans="1:4" s="4" customFormat="1" x14ac:dyDescent="0.25">
      <c r="A7" s="5" t="s">
        <v>991</v>
      </c>
      <c r="B7" s="5">
        <f>COUNTIFS(Лиды!B2:B1000,"A",Лиды!D2:D1000,"Свободен")</f>
        <v>37</v>
      </c>
      <c r="C7" s="5" t="s">
        <v>992</v>
      </c>
      <c r="D7" s="5" t="s">
        <v>993</v>
      </c>
    </row>
    <row r="8" spans="1:4" s="4" customFormat="1" x14ac:dyDescent="0.25">
      <c r="A8" s="5" t="s">
        <v>994</v>
      </c>
      <c r="B8" s="5">
        <f>COUNTA(Лиды!S2:S1000)</f>
        <v>0</v>
      </c>
      <c r="C8" s="5">
        <v>40</v>
      </c>
      <c r="D8" s="5" t="s">
        <v>995</v>
      </c>
    </row>
    <row r="9" spans="1:4" s="4" customFormat="1" x14ac:dyDescent="0.25">
      <c r="A9" s="5" t="s">
        <v>996</v>
      </c>
      <c r="B9" s="5">
        <f>COUNTIF(Лиды!R2:R1000,"ОТВЕТИЛ")</f>
        <v>0</v>
      </c>
      <c r="C9" s="5">
        <v>10</v>
      </c>
      <c r="D9" s="5" t="s">
        <v>997</v>
      </c>
    </row>
    <row r="10" spans="1:4" s="4" customFormat="1" x14ac:dyDescent="0.25">
      <c r="A10" s="5" t="s">
        <v>998</v>
      </c>
      <c r="B10" s="5">
        <f>COUNTIF(Лиды!R2:R1000,"ДЕМО")</f>
        <v>0</v>
      </c>
      <c r="C10" s="5">
        <v>5</v>
      </c>
      <c r="D10" s="5" t="s">
        <v>32</v>
      </c>
    </row>
    <row r="11" spans="1:4" s="4" customFormat="1" x14ac:dyDescent="0.25">
      <c r="A11" s="5" t="s">
        <v>999</v>
      </c>
      <c r="B11" s="5">
        <f>COUNTIF(Лиды!R2:R1000,"ПИЛОТ")</f>
        <v>0</v>
      </c>
      <c r="C11" s="5">
        <v>2</v>
      </c>
      <c r="D11" s="5" t="s">
        <v>1000</v>
      </c>
    </row>
    <row r="12" spans="1:4" s="4" customFormat="1" x14ac:dyDescent="0.25">
      <c r="A12" s="5" t="s">
        <v>1001</v>
      </c>
      <c r="B12" s="5">
        <f>COUNTIF(Лиды!R2:R1000,"СЧЁТ")+COUNTIF(Лиды!R2:R1000,"ПЛАТИТ")</f>
        <v>0</v>
      </c>
      <c r="C12" s="5">
        <v>2</v>
      </c>
      <c r="D12" s="5" t="s">
        <v>1002</v>
      </c>
    </row>
    <row r="13" spans="1:4" s="4" customFormat="1" x14ac:dyDescent="0.25">
      <c r="A13" s="5" t="s">
        <v>1003</v>
      </c>
      <c r="B13" s="8">
        <f>SUMIFS(Лиды!V2:V1000,Лиды!R2:R1000,"ДЕМО")+SUMIFS(Лиды!V2:V1000,Лиды!R2:R1000,"ПИЛОТ")+SUMIFS(Лиды!V2:V1000,Лиды!R2:R1000,"СЧЁТ")</f>
        <v>0</v>
      </c>
      <c r="C13" s="5" t="s">
        <v>36</v>
      </c>
      <c r="D13" s="5" t="s">
        <v>1004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Лиды</vt:lpstr>
      <vt:lpstr>Карта рынка</vt:lpstr>
      <vt:lpstr>Воронка</vt:lpstr>
      <vt:lpstr>Скрипты</vt:lpstr>
      <vt:lpstr>Тест 14 дней</vt:lpstr>
      <vt:lpstr>Услуги и цены</vt:lpstr>
      <vt:lpstr>Объявления</vt:lpstr>
      <vt:lpstr>Метрики</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Tournable</dc:creator>
  <dc:title/>
  <dc:subject/>
  <dc:description/>
  <cp:keywords/>
  <cp:category/>
  <cp:lastModifiedBy>Unknown</cp:lastModifiedBy>
  <dcterms:created xsi:type="dcterms:W3CDTF">2026-08-01T15:23:23Z</dcterms:created>
  <dcterms:modified xsi:type="dcterms:W3CDTF">2026-08-01T15:23:23Z</dcterms:modified>
</cp:coreProperties>
</file>
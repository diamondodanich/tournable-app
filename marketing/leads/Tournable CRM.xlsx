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ды" state="visible" r:id="rId4"/>
    <sheet sheetId="2" name="Воронка" state="visible" r:id="rId5"/>
    <sheet sheetId="3" name="Скрипты" state="visible" r:id="rId6"/>
    <sheet sheetId="4" name="План 30 дней" state="visible" r:id="rId7"/>
    <sheet sheetId="5" name="Услуги и цены" state="visible" r:id="rId8"/>
    <sheet sheetId="6" name="Объявления" state="visible" r:id="rId9"/>
    <sheet sheetId="7" name="Метрики" state="visible" r:id="rId10"/>
  </sheets>
  <calcPr calcId="171027"/>
</workbook>
</file>

<file path=xl/sharedStrings.xml><?xml version="1.0" encoding="utf-8"?>
<sst xmlns="http://schemas.openxmlformats.org/spreadsheetml/2006/main" count="2621" uniqueCount="846">
  <si>
    <t>ID</t>
  </si>
  <si>
    <t>Приоритет</t>
  </si>
  <si>
    <t>Название</t>
  </si>
  <si>
    <t>Сегмент</t>
  </si>
  <si>
    <t>Спорт</t>
  </si>
  <si>
    <t>Город</t>
  </si>
  <si>
    <t>Масштаб / почему интересен</t>
  </si>
  <si>
    <t>Контактное лицо</t>
  </si>
  <si>
    <t>Телефон</t>
  </si>
  <si>
    <t>Email</t>
  </si>
  <si>
    <t>Сайт</t>
  </si>
  <si>
    <t>Instagram</t>
  </si>
  <si>
    <t>Telegram</t>
  </si>
  <si>
    <t>Канал 1-го касания</t>
  </si>
  <si>
    <t>Скрипт</t>
  </si>
  <si>
    <t>Статус</t>
  </si>
  <si>
    <t>Дата касания</t>
  </si>
  <si>
    <t>Следующий шаг</t>
  </si>
  <si>
    <t>Дата след. шага</t>
  </si>
  <si>
    <t>Потенциал, ₸</t>
  </si>
  <si>
    <t>Источник</t>
  </si>
  <si>
    <t>Заметки</t>
  </si>
  <si>
    <t>A</t>
  </si>
  <si>
    <t>Казахстанская Лига Любителей Футбола (LLF)</t>
  </si>
  <si>
    <t>Любительские лиги</t>
  </si>
  <si>
    <t>Футбол</t>
  </si>
  <si>
    <t>Астана</t>
  </si>
  <si>
    <t>30+ команд, 57K подписчиков в IG</t>
  </si>
  <si>
    <t/>
  </si>
  <si>
    <t>llf-ast.kz</t>
  </si>
  <si>
    <t>@llf_ast.kz</t>
  </si>
  <si>
    <t>Instagram Direct</t>
  </si>
  <si>
    <t>S1-Лига</t>
  </si>
  <si>
    <t>NEW</t>
  </si>
  <si>
    <t>llf-ast.kz / instagram</t>
  </si>
  <si>
    <t>Точный ICP, локально (ул. Габит Мусрепов 13). Крупнейшая аудитория среди любительских лиг РК. Сайт на конструкторе — показать, что Tournable закрывает таблицы+статистику+табло в одном месте.</t>
  </si>
  <si>
    <t>ASTFL (Астанинская любительская футбольная лига)</t>
  </si>
  <si>
    <t>Городская лига</t>
  </si>
  <si>
    <t>astfl.kz</t>
  </si>
  <si>
    <t>Прямой ICP. Контакт искать в шапке сайта и в IG.</t>
  </si>
  <si>
    <t>Любительский Футбол Астана (LFA)</t>
  </si>
  <si>
    <t>@lfa_kz</t>
  </si>
  <si>
    <t>instagram.com/lfa_kz</t>
  </si>
  <si>
    <t>Активный Instagram — писать в Direct. Предложить бесплатное ведение одного тура как демо.</t>
  </si>
  <si>
    <t>Астанинская любительская хоккейная лига (АЛХЛ)</t>
  </si>
  <si>
    <t>Хоккей</t>
  </si>
  <si>
    <t>alhl.kz</t>
  </si>
  <si>
    <t>Сайт/Instagram</t>
  </si>
  <si>
    <t>alhl.kz (поиск 2026-08-01)</t>
  </si>
  <si>
    <t>Хоккей — формат groups+playoff, у Tournable уже поддержан. Сайт на момент проверки не открывался — искать актуальный контакт в 2GIS/Instagram.</t>
  </si>
  <si>
    <t>Almaty Hockey League / Федерация хоккея Алматы</t>
  </si>
  <si>
    <t>Алматы</t>
  </si>
  <si>
    <t>18 команд, финал плей-офф 10 000+ зрителей на Алматы Арене</t>
  </si>
  <si>
    <t>fha.kz</t>
  </si>
  <si>
    <t>Сайт → форма/почта</t>
  </si>
  <si>
    <t>fha.kz (поиск 2026-08-01)</t>
  </si>
  <si>
    <t>Самая зрелая любительская лига по хоккею: Матч звёзд, плей-офф с большой посещаемостью. Есть спонсорские деньги — заходить с брендированным отчётом и табло.</t>
  </si>
  <si>
    <t>Ночная Любительская Хоккейная Лига (НЛХЛ)</t>
  </si>
  <si>
    <t>Республика</t>
  </si>
  <si>
    <t>Мультигород: основной, junior, Темиртау</t>
  </si>
  <si>
    <t>nhliga.kz</t>
  </si>
  <si>
    <t>nhliga.kz, junior.nhliga.kz, temirtau.nhliga.kz</t>
  </si>
  <si>
    <t>Три отдельных дивизиона = три аккаунта. Хороший кейс мультиаккаунта/чемпионата в Tournable.</t>
  </si>
  <si>
    <t>Астанинская любительская баскетбольная лига (АБЛ)</t>
  </si>
  <si>
    <t>Баскетбол</t>
  </si>
  <si>
    <t>24 команды: вузы, КМГ, КТЖ, Microsoft, ERG, посольства</t>
  </si>
  <si>
    <t>nbfkz.com/ru/projects/amateur-league-astana</t>
  </si>
  <si>
    <t>@nbfkz</t>
  </si>
  <si>
    <t>@nbf_kz</t>
  </si>
  <si>
    <t>Instagram Direct + офис</t>
  </si>
  <si>
    <t>nbfkz.com (проверено 2026-08-01)</t>
  </si>
  <si>
    <t>Проект под эгидой НФБ РК, офис: Мангилик Ел 11/1, 5 этаж, каб. 506. В составе участников корпоративные команды — прямой мост к корпоративному сегменту.</t>
  </si>
  <si>
    <t>ASTANA CUP (баскетбол)</t>
  </si>
  <si>
    <t>Лига среди сильнейших любительских команд</t>
  </si>
  <si>
    <t>@astana_cup</t>
  </si>
  <si>
    <t>instagram.com/astana_cup</t>
  </si>
  <si>
    <t>Отдельный организатор, не связан с НФБ. Писать в Direct.</t>
  </si>
  <si>
    <t>Astana Basketball League</t>
  </si>
  <si>
    <t>Открытый чемпионат города</t>
  </si>
  <si>
    <t>ablforpeople.com/tournament/astana</t>
  </si>
  <si>
    <t>@astana_basketball_league</t>
  </si>
  <si>
    <t>ablforpeople.com</t>
  </si>
  <si>
    <t>Ведут статистику на стороннем сервисе — аргумент: перенос на Tournable с публичными страницами команд и игроков.</t>
  </si>
  <si>
    <t>B</t>
  </si>
  <si>
    <t>Streetball Astana</t>
  </si>
  <si>
    <t>Стритбол</t>
  </si>
  <si>
    <t>3x3, турниры летом</t>
  </si>
  <si>
    <t>@streetball.ast</t>
  </si>
  <si>
    <t>instagram.com/streetball.ast</t>
  </si>
  <si>
    <t>Сезонный, 3x3. Быстрые турниры на 1 день — идеальный первый пилот.</t>
  </si>
  <si>
    <t>Любительская баскетбольная лига (Дай Мяч)</t>
  </si>
  <si>
    <t>12 команд, с 2017 года</t>
  </si>
  <si>
    <t>daymyach.com/lbl</t>
  </si>
  <si>
    <t>Объединяет игроков любого возраста и уровня. Сайт на момент проверки отдавал ошибку сертификата — контакт брать из 2GIS.</t>
  </si>
  <si>
    <t>Казахстанская Лига Любителей Волейбола (ОО)</t>
  </si>
  <si>
    <t>Волейбол</t>
  </si>
  <si>
    <t>Республиканское ОО, БИН 170640000074</t>
  </si>
  <si>
    <t>Андабаева Алия Талгатовна</t>
  </si>
  <si>
    <t>Поиск контакта → звонок</t>
  </si>
  <si>
    <t>statsnet.co (реестр юрлиц)</t>
  </si>
  <si>
    <t>Юрлицо зарегистрировано в Астане. Волейбол в Tournable поддержан. Контакт искать через реестр/2GIS/соцсети.</t>
  </si>
  <si>
    <t>Любительская Волейбольная Лига Восточного Казахстана</t>
  </si>
  <si>
    <t>Усть-Каменогорск</t>
  </si>
  <si>
    <t>Бизнес-лига, детское направление, пляжный кубок</t>
  </si>
  <si>
    <t>amateurvolleyballleague.orgs.biz</t>
  </si>
  <si>
    <t>Сайт → форма</t>
  </si>
  <si>
    <t>Несколько турниров в год (Бизнес-лига, Кубок Фортуны, волейбол на снегу, фестиваль пляжных видов) — много поводов для повторных продаж.</t>
  </si>
  <si>
    <t>PFL Almaty</t>
  </si>
  <si>
    <t>Городская лига + корпоративный дивизион</t>
  </si>
  <si>
    <t>pflalmaty.com</t>
  </si>
  <si>
    <t>Сайт → форма/Instagram</t>
  </si>
  <si>
    <t>Ведут таблицы/расписания/статистику — прямая боль. Отдельно у них есть Корпоративная лига (см. строку ниже).</t>
  </si>
  <si>
    <t>Корпоративная лига Алматы (PFL Almaty)</t>
  </si>
  <si>
    <t>Корпоративные лиги</t>
  </si>
  <si>
    <t>Чемпионат среди компаний</t>
  </si>
  <si>
    <t>pflalmaty.com/tournament/1058909</t>
  </si>
  <si>
    <t>S3-Корпорат</t>
  </si>
  <si>
    <t>Корпоративные турниры = бюджеты компаний. Заходить не с подпиской, а с услугой «под ключ + брендированный отчёт для HR».</t>
  </si>
  <si>
    <t>Мини-Футбольная Лига г. Алматы</t>
  </si>
  <si>
    <t>llfalmaty.kz</t>
  </si>
  <si>
    <t>Qazaq CyberSport Federation</t>
  </si>
  <si>
    <t>Киберспорт</t>
  </si>
  <si>
    <t>Аккредитованная респ. федерация, член GEF/AESF/IESF</t>
  </si>
  <si>
    <t>+7 7172 45 60 13</t>
  </si>
  <si>
    <t>info@qcf.kz</t>
  </si>
  <si>
    <t>qcf.kz</t>
  </si>
  <si>
    <t>@qcf.kz</t>
  </si>
  <si>
    <t>@qcf_kz</t>
  </si>
  <si>
    <t>Email + звонок</t>
  </si>
  <si>
    <t>qcf.kz (проверено 2026-08-01)</t>
  </si>
  <si>
    <t>Адрес: Астана, пр. Абая 13, офис 1009. Проводят корпоративные турниры и спартакиады для нацкомпаний — самый денежный сегмент. В 2027 в Астане World Esports Championship.</t>
  </si>
  <si>
    <t>KESL — Студенческая киберспортивная лига Казахстана</t>
  </si>
  <si>
    <t>12 вузов: КазНУ, Политех, МУИТ, КБТУ, NU</t>
  </si>
  <si>
    <t>Сайдуллаев Р.</t>
  </si>
  <si>
    <t>+7 777 002 81 03</t>
  </si>
  <si>
    <t>rsaidullayev@gmail.com</t>
  </si>
  <si>
    <t>kesl.qcf.kz</t>
  </si>
  <si>
    <t>t.me/cybersport_kz</t>
  </si>
  <si>
    <t>WhatsApp + email</t>
  </si>
  <si>
    <t>S2-Универ</t>
  </si>
  <si>
    <t>kesl.qcf.kz (проверено 2026-08-01)</t>
  </si>
  <si>
    <t>Есть прямой личный контакт организатора — приоритет по скорости ответа. Дисциплины PUBG Mobile, CS, Starcraft II.</t>
  </si>
  <si>
    <t>Федерация киберспорта СКО</t>
  </si>
  <si>
    <t>Петропавловск</t>
  </si>
  <si>
    <t>Региональная федерация</t>
  </si>
  <si>
    <t>cybersportleague.kz</t>
  </si>
  <si>
    <t>Школьные лиги и открытые кубки CS2, EA SPORTS FC.</t>
  </si>
  <si>
    <t>iPlay ESports</t>
  </si>
  <si>
    <t>Казахстан</t>
  </si>
  <si>
    <t>Коммерческий организатор</t>
  </si>
  <si>
    <t>iplayesports.kz</t>
  </si>
  <si>
    <t>SPORT PROJECTS</t>
  </si>
  <si>
    <t>Организаторы турниров</t>
  </si>
  <si>
    <t>Мультиспорт</t>
  </si>
  <si>
    <t>Кубок акима Астаны, городские первенства</t>
  </si>
  <si>
    <t>sport-projects.kz</t>
  </si>
  <si>
    <t>Сайт → форма + звонок</t>
  </si>
  <si>
    <t>Реальные турниры под ключ, спартакиады по олимпийским видам. Нужны сетки, табло, отчёты — заходить с white-label отчётом для заказчика.</t>
  </si>
  <si>
    <t>SportEvents Almaty</t>
  </si>
  <si>
    <t>Спартакиады для организаций и госслужащих, Giro d’Almaty, забег Медео</t>
  </si>
  <si>
    <t>+7 747 857 34 73</t>
  </si>
  <si>
    <t>sportevents.kz</t>
  </si>
  <si>
    <t>@sportevents.ala</t>
  </si>
  <si>
    <t>WhatsApp</t>
  </si>
  <si>
    <t>sportevents.kz (проверено 2026-08-01)</t>
  </si>
  <si>
    <t>Полный цикл: концепция, логистика, судейство, регистрация, спонсоры. Игровые турниры по футболу/волейболу/баскетболу — им нужен именно наш модуль сеток и протоколов.</t>
  </si>
  <si>
    <t>Footballer.kz (ДЮФК)</t>
  </si>
  <si>
    <t>200+ корпоративных турниров за 10 лет</t>
  </si>
  <si>
    <t>+7 701 371 0300</t>
  </si>
  <si>
    <t>dufk.kz@gmail.com</t>
  </si>
  <si>
    <t>footballer.kz</t>
  </si>
  <si>
    <t>@footballer__kz</t>
  </si>
  <si>
    <t>+7 702 333 7 888</t>
  </si>
  <si>
    <t>footballer.kz (проверено 2026-08-01)</t>
  </si>
  <si>
    <t>Адрес: Алматы, ул. Айманова 193а. Продают турнир под ключ (площадка, судьи, символика, награждение) — партнёрство: мы даём цифровую часть, они дают поток заказчиков.</t>
  </si>
  <si>
    <t>J.Martin Event</t>
  </si>
  <si>
    <t>Event-агентство с 2017 года</t>
  </si>
  <si>
    <t>jmartin.kz</t>
  </si>
  <si>
    <t>Корпоративные спортивные состязания.</t>
  </si>
  <si>
    <t>AJ Events</t>
  </si>
  <si>
    <t>Event-агентство</t>
  </si>
  <si>
    <t>ajevents.kz</t>
  </si>
  <si>
    <t>Talisman Event</t>
  </si>
  <si>
    <t>talismanevent.kz</t>
  </si>
  <si>
    <t>Business Event &amp; Rent</t>
  </si>
  <si>
    <t>15 лет на рынке, корпоративные и деловые события</t>
  </si>
  <si>
    <t>b-event.kz</t>
  </si>
  <si>
    <t>Prostranstvo</t>
  </si>
  <si>
    <t>prostranstvo.team</t>
  </si>
  <si>
    <t>RedG</t>
  </si>
  <si>
    <t>Футбол, Волейбол</t>
  </si>
  <si>
    <t>Корпоративные турниры</t>
  </si>
  <si>
    <t>red-g.kz</t>
  </si>
  <si>
    <t>EventAlmaty.kz</t>
  </si>
  <si>
    <t>Спортивно-развлекательные мероприятия</t>
  </si>
  <si>
    <t>eventalmaty.kz</t>
  </si>
  <si>
    <t>Pod-kluch.kz (HR-мероприятия)</t>
  </si>
  <si>
    <t>Корпоративные турниры под ключ</t>
  </si>
  <si>
    <t>pod-kluch.kz/services/hr-meropriyatiya/korporativnye-turniry</t>
  </si>
  <si>
    <t>pod-kluch.kz</t>
  </si>
  <si>
    <t>Football Center</t>
  </si>
  <si>
    <t>Площадки</t>
  </si>
  <si>
    <t>4 крытых поля, 18 000 ₸/час, круглосуточно</t>
  </si>
  <si>
    <t>@footballcenterkz</t>
  </si>
  <si>
    <t>Instagram Direct + визит</t>
  </si>
  <si>
    <t>S4-Площадка</t>
  </si>
  <si>
    <t>sxodim.com (проверено 2026-08-01)</t>
  </si>
  <si>
    <t>Адрес: Мухаметханова 37Б. Площадка = поток организаторов. Предложить: бесплатно ведём их внутренний турнир + QR-стойка на ресепшене за процент/рекомендации.</t>
  </si>
  <si>
    <t>Dostyq Arena</t>
  </si>
  <si>
    <t>16 000 ₸/час</t>
  </si>
  <si>
    <t>@dostyqarena</t>
  </si>
  <si>
    <t>sxodim.com</t>
  </si>
  <si>
    <t>Адрес: Пушкина 35/1.</t>
  </si>
  <si>
    <t>СК «Эверест»</t>
  </si>
  <si>
    <t>+7 701 544 55 11</t>
  </si>
  <si>
    <t>Звонок/WhatsApp</t>
  </si>
  <si>
    <t>Адрес: Жиенкуловой 7. Есть прямой телефон — звонить первым.</t>
  </si>
  <si>
    <t>FootZone</t>
  </si>
  <si>
    <t>13 000 ₸/час газон, 10 000 ₸/час паркет</t>
  </si>
  <si>
    <t>@footzone_astana</t>
  </si>
  <si>
    <t>Адрес: Жеруйык 1а. Самая доступная цена — там больше всего любительских команд.</t>
  </si>
  <si>
    <t>Sairan Arena</t>
  </si>
  <si>
    <t>33 000 ₸/час</t>
  </si>
  <si>
    <t>@sairanarena</t>
  </si>
  <si>
    <t>Адрес: Туран 58/1. Премиальный сегмент, корпоративные заказчики.</t>
  </si>
  <si>
    <t>Add Padel (Падел центр Астана)</t>
  </si>
  <si>
    <t>Падел</t>
  </si>
  <si>
    <t>4 корта, еженедельные призовые турниры</t>
  </si>
  <si>
    <t>add-padel.com</t>
  </si>
  <si>
    <t>@add_padel</t>
  </si>
  <si>
    <t>add-padel.com / instagram</t>
  </si>
  <si>
    <t>Еженедельные турниры = еженедельная потребность в сетках и рейтинге. Падел растёт быстрее всех — заходить сейчас.</t>
  </si>
  <si>
    <t>Alpine Padel Club</t>
  </si>
  <si>
    <t>2 локации, турниры и клубные встречи, 07:00–02:00</t>
  </si>
  <si>
    <t>+7 707 903 71 79</t>
  </si>
  <si>
    <t>info@alpinepadel.kz</t>
  </si>
  <si>
    <t>alpinepadel.kz</t>
  </si>
  <si>
    <t>@alpine.padel.club</t>
  </si>
  <si>
    <t>alpinepadel.kz (проверено 2026-08-01)</t>
  </si>
  <si>
    <t>Локации: Nazarbayev University (Кабанбай батыра 53к3) и ФОК (Е 103, 7/2). Полный контакт — писать первым.</t>
  </si>
  <si>
    <t>Padel Sai Almaty / Add Tennis Padel</t>
  </si>
  <si>
    <t>Падел-центр</t>
  </si>
  <si>
    <t>@padel.sai.almaty</t>
  </si>
  <si>
    <t>instagram / yandex maps</t>
  </si>
  <si>
    <t>Адрес: ул. Ташена Утепова.</t>
  </si>
  <si>
    <t>Национальная федерация баскетбола РК (НФБ)</t>
  </si>
  <si>
    <t>Федерации</t>
  </si>
  <si>
    <t>Нацорган, курирует АБЛ и НБСЛ</t>
  </si>
  <si>
    <t>nbfkz.com</t>
  </si>
  <si>
    <t>Instagram + офис</t>
  </si>
  <si>
    <t>Адрес: Мангилик Ел 11/1, 5 этаж, каб. 506. Через них выход сразу на две лиги (АБЛ, НБСЛ).</t>
  </si>
  <si>
    <t>Казахстанская федерация волейбола</t>
  </si>
  <si>
    <t>Нацорган</t>
  </si>
  <si>
    <t>volley.kz</t>
  </si>
  <si>
    <t>Национальная федерация падел РК</t>
  </si>
  <si>
    <t>Молодая федерация растущего вида</t>
  </si>
  <si>
    <t>padelfederation.org.kz</t>
  </si>
  <si>
    <t>Молодая федерация без наследия ПО — легче зайти, чем в футбол.</t>
  </si>
  <si>
    <t>Ассоциация Федерация футбола г. Астана</t>
  </si>
  <si>
    <t>Городская федерация</t>
  </si>
  <si>
    <t>Алиев Батыр Алиұлы</t>
  </si>
  <si>
    <t>+7 701 518 57 83</t>
  </si>
  <si>
    <t>info@ffn.kz</t>
  </si>
  <si>
    <t>ffa.kz</t>
  </si>
  <si>
    <t>@ffa.kz</t>
  </si>
  <si>
    <t>Звонок + email</t>
  </si>
  <si>
    <t>kff.kz/regions</t>
  </si>
  <si>
    <t>Локальная, главный приоритет среди футбольных федераций. Курирует городские турниры и первенства.</t>
  </si>
  <si>
    <t>Федерация футбола Алматы</t>
  </si>
  <si>
    <t>Талғатұлы Бауыржан</t>
  </si>
  <si>
    <t>+7 701 717 34 94</t>
  </si>
  <si>
    <t>ffa.almaty@gmail.com</t>
  </si>
  <si>
    <t>@aff_resmi</t>
  </si>
  <si>
    <t>Крупнейший город — большой поток любительских и детских турниров.</t>
  </si>
  <si>
    <t>C</t>
  </si>
  <si>
    <t>Казахстанская Федерация футбола (KFF)</t>
  </si>
  <si>
    <t>секретариат</t>
  </si>
  <si>
    <t>+7 7172 79-07-80</t>
  </si>
  <si>
    <t>kense@kff.kz</t>
  </si>
  <si>
    <t>kff.kz</t>
  </si>
  <si>
    <t>kff.kz/contacts</t>
  </si>
  <si>
    <t>Долгий цикл сделки. Через них выход на школьную лигу «Былғары доп».</t>
  </si>
  <si>
    <t>Almaty Students Volleyball League (ASVL)</t>
  </si>
  <si>
    <t>Университеты</t>
  </si>
  <si>
    <t>35 вузов, футбол+волейбол+баскетбол, участие бесплатное</t>
  </si>
  <si>
    <t>asvl.kz</t>
  </si>
  <si>
    <t>Instagram/WhatsApp с сайта</t>
  </si>
  <si>
    <t>asvl.kz (проверено 2026-08-01)</t>
  </si>
  <si>
    <t>Запущена по инициативе акимата Алматы — есть бюджет. Три вида спорта в одном проекте — идеальный кейс мультиспорта Tournable.</t>
  </si>
  <si>
    <t>Almaty Student League (ASL / ASBL)</t>
  </si>
  <si>
    <t>Футбол, Баскетбол, Волейбол</t>
  </si>
  <si>
    <t>32+ вуза, 1300+ студентов за сезон</t>
  </si>
  <si>
    <t>asbl.kz</t>
  </si>
  <si>
    <t>Мультиспорт, сезон стартует в октябре — заходить до старта сезона.</t>
  </si>
  <si>
    <t>Национальная баскетбольная студенческая лига (НБСЛ)</t>
  </si>
  <si>
    <t>Муж/жен дивизионы, плей-офф</t>
  </si>
  <si>
    <t>Через НФБ</t>
  </si>
  <si>
    <t>nbf.kz/ru/project/nbsl</t>
  </si>
  <si>
    <t>Кейс под playoff/groups_playoff.</t>
  </si>
  <si>
    <t>Nazarbayev University — спортивный отдел</t>
  </si>
  <si>
    <t>Внутренние турниры каждый семестр</t>
  </si>
  <si>
    <t>nu.edu.kz</t>
  </si>
  <si>
    <t>Email спортотдела + студсовет</t>
  </si>
  <si>
    <t>—</t>
  </si>
  <si>
    <t>Кабанбай батыра 53. На кампусе уже работает Alpine Padel — двойная точка входа.</t>
  </si>
  <si>
    <t>ЕНУ им. Л.Н. Гумилёва — спортклуб</t>
  </si>
  <si>
    <t>Крупнейший вуз столицы</t>
  </si>
  <si>
    <t>enu.kz</t>
  </si>
  <si>
    <t>Email + визит</t>
  </si>
  <si>
    <t>Внутренние спартакиады между факультетами — быстрый пилот на 8-16 команд.</t>
  </si>
  <si>
    <t>Astana IT University — студсовет</t>
  </si>
  <si>
    <t>Киберспорт, Футбол</t>
  </si>
  <si>
    <t>IT-вуз, сильный киберспорт</t>
  </si>
  <si>
    <t>astanait.edu.kz</t>
  </si>
  <si>
    <t>Telegram студсовета</t>
  </si>
  <si>
    <t>Самая лояльная к цифровым продуктам аудитория. Просить не денег, а кейс + отзыв.</t>
  </si>
  <si>
    <t>Maqsut Narikbayev University (КАЗГЮУ)</t>
  </si>
  <si>
    <t>mnu.kz</t>
  </si>
  <si>
    <t>Казахский агротехнический университет им. С. Сейфуллина</t>
  </si>
  <si>
    <t>kazatu.edu.kz</t>
  </si>
  <si>
    <t>Медицинский университет Астана</t>
  </si>
  <si>
    <t>amu.kz</t>
  </si>
  <si>
    <t>КазНУ им. аль-Фараби — спортклуб</t>
  </si>
  <si>
    <t>Крупнейший вуз страны</t>
  </si>
  <si>
    <t>kaznu.kz</t>
  </si>
  <si>
    <t>Участник KESL — можно зайти через киберспортивную лигу.</t>
  </si>
  <si>
    <t>КБТУ — студсовет</t>
  </si>
  <si>
    <t>kbtu.edu.kz</t>
  </si>
  <si>
    <t>Участник KESL.</t>
  </si>
  <si>
    <t>МУИТ (IITU)</t>
  </si>
  <si>
    <t>iitu.edu.kz</t>
  </si>
  <si>
    <t>КазНИТУ им. Сатпаева</t>
  </si>
  <si>
    <t>satbayev.university</t>
  </si>
  <si>
    <t>AlmaU / КИМЭП / Нархоз</t>
  </si>
  <si>
    <t>Бизнес-вузы, корпоративная культура</t>
  </si>
  <si>
    <t>Их выпускники — HR в компаниях. Двойная ценность: кейс + выход на корпоративный сегмент.</t>
  </si>
  <si>
    <t>Детский центр футбола при Федерации футбола г. Астана</t>
  </si>
  <si>
    <t>Детский спорт</t>
  </si>
  <si>
    <t>Меморандум с ФЦ ФК «Астана»</t>
  </si>
  <si>
    <t>bfo.kz</t>
  </si>
  <si>
    <t>Звонок</t>
  </si>
  <si>
    <t>S5-Детский</t>
  </si>
  <si>
    <t>Регулярные турниры и просмотры. Родители — вирусный канал: публичная страница игрока с его статистикой продаёт сама себя.</t>
  </si>
  <si>
    <t>Академия ФК «Кайрат»</t>
  </si>
  <si>
    <t>1000+ воспитанников</t>
  </si>
  <si>
    <t>fckairat.com</t>
  </si>
  <si>
    <t>Проводят собственные турниры и приглашают команды.</t>
  </si>
  <si>
    <t>Футбольная школа «Торнадо»</t>
  </si>
  <si>
    <t>Дети от 5 лет</t>
  </si>
  <si>
    <t>tornado.football</t>
  </si>
  <si>
    <t>ZhaStar (школа футбола)</t>
  </si>
  <si>
    <t>+7 701 199 44 99</t>
  </si>
  <si>
    <t>astana.spravker.ru</t>
  </si>
  <si>
    <t>СДЮСШОР № 6</t>
  </si>
  <si>
    <t>+7 7172 24-92-27</t>
  </si>
  <si>
    <t>Доп. тел: +7 708 323 86 38.</t>
  </si>
  <si>
    <t>СДЮСШОР № 8 (футбол)</t>
  </si>
  <si>
    <t>Профильная футбольная ДЮСШ</t>
  </si>
  <si>
    <t>madeniet-sport-astana.kz</t>
  </si>
  <si>
    <t>Звонок через управление спорта</t>
  </si>
  <si>
    <t>ДЮСШ ХК «Барыс»</t>
  </si>
  <si>
    <t>+7 7172 61-35-13</t>
  </si>
  <si>
    <t>Доп. тел: +7 700 625 25 65.</t>
  </si>
  <si>
    <t>True Hockey</t>
  </si>
  <si>
    <t>+7 778 999 91 93</t>
  </si>
  <si>
    <t>Hockey training players</t>
  </si>
  <si>
    <t>+7 747 186 44 59</t>
  </si>
  <si>
    <t>Национальная школьная лига «Былғары доп»</t>
  </si>
  <si>
    <t>Школьные лиги</t>
  </si>
  <si>
    <t>Республиканский турнир, 7-8 классы</t>
  </si>
  <si>
    <t>Через KFF + облуправления</t>
  </si>
  <si>
    <t>S6-Школы</t>
  </si>
  <si>
    <t>Выход через KFF и управления образования.</t>
  </si>
  <si>
    <t>Футбольная Школьная лига Алматы</t>
  </si>
  <si>
    <t>Городской турнир среди школ</t>
  </si>
  <si>
    <t>school-almaty.orgs.biz</t>
  </si>
  <si>
    <t>Управление физической культуры и спорта г. Астаны</t>
  </si>
  <si>
    <t>Госструктуры</t>
  </si>
  <si>
    <t>Заказчик городских соревнований и спартакиад</t>
  </si>
  <si>
    <t>Официальное письмо + визит</t>
  </si>
  <si>
    <t>S7-Гос</t>
  </si>
  <si>
    <t>Ключ к тендерам на организацию соревнований. Просить включение в перечень поставщиков услуг и подписку на объявления о закупках.</t>
  </si>
  <si>
    <t>Управление образования г. Астаны</t>
  </si>
  <si>
    <t>Школьные спартакиады</t>
  </si>
  <si>
    <t>Официальное письмо</t>
  </si>
  <si>
    <t>Спартакиады среди школ города — большой объём матчей, ручной учёт.</t>
  </si>
  <si>
    <t>Портал госзакупок goszakup.gov.kz</t>
  </si>
  <si>
    <t>Канал, не лид</t>
  </si>
  <si>
    <t>goszakup.gov.kz</t>
  </si>
  <si>
    <t>Регистрация поставщика</t>
  </si>
  <si>
    <t>Настроить фильтр по словам: спортивное мероприятие, соревнование, спартакиада, турнир, судейство. Это самый крупный по чекам источник заказов в РК.</t>
  </si>
  <si>
    <t>KPMG Казахстан (KPMG Open)</t>
  </si>
  <si>
    <t>Корпоративные клиенты</t>
  </si>
  <si>
    <t>Ежегодный турнир среди компаний</t>
  </si>
  <si>
    <t>kpmg.com/kz</t>
  </si>
  <si>
    <t>LinkedIn/HR + email</t>
  </si>
  <si>
    <t>Проводят KPMG Open и чемпионат по шахматам среди компаний Алматы более 16 лет. Готовый заказчик с бюджетом и регулярностью.</t>
  </si>
  <si>
    <t>КазМунайГаз — спортклуб/HR</t>
  </si>
  <si>
    <t>Участник АБЛ, корпоративные спартакиады</t>
  </si>
  <si>
    <t>kmg.kz</t>
  </si>
  <si>
    <t>Через АБЛ + HR</t>
  </si>
  <si>
    <t>nbfkz.com (список команд АБЛ)</t>
  </si>
  <si>
    <t>Уже играют в АБЛ — заходить через организатора лиги, а не в холодную.</t>
  </si>
  <si>
    <t>Қазақстан темір жолы (КТЖ) — спортклуб</t>
  </si>
  <si>
    <t>Участник АБЛ</t>
  </si>
  <si>
    <t>railways.kz</t>
  </si>
  <si>
    <t>Крупнейший работодатель страны, много филиалов — межфилиальные спартакиады.</t>
  </si>
  <si>
    <t>ERG (Eurasian Resources Group)</t>
  </si>
  <si>
    <t>erg.kz</t>
  </si>
  <si>
    <t>Крупные IT-компании Астаны (Astana Hub резиденты)</t>
  </si>
  <si>
    <t>300+ резидентов</t>
  </si>
  <si>
    <t>astanahub.com</t>
  </si>
  <si>
    <t>Telegram-чаты Astana Hub</t>
  </si>
  <si>
    <t>Внутренние турниры и киберспорт. Заходить через комьюнити-чаты, а не через HR.</t>
  </si>
  <si>
    <t>Банки и страховые Астаны (HR-отделы)</t>
  </si>
  <si>
    <t>LinkedIn HR + email</t>
  </si>
  <si>
    <t>Halyk, Kaspi, Freedom, Jusan, БЦК: ежегодные тимбилдинги и спартакиады. Продавать не софт, а «турнир под ключ с отчётом для руководства».</t>
  </si>
  <si>
    <t>Чаты организаторов ЛФЛ/дворового футбола</t>
  </si>
  <si>
    <t>Медиа и каналы</t>
  </si>
  <si>
    <t>Астана/РК</t>
  </si>
  <si>
    <t>Главная точка входа в комьюнити</t>
  </si>
  <si>
    <t>Вступить и участвовать</t>
  </si>
  <si>
    <t>S8-Комьюнити</t>
  </si>
  <si>
    <t>см. плейбук</t>
  </si>
  <si>
    <t>Вступить в чаты через LLF/ASTFL/LFA. Не продавать в лоб: сначала польза, потом предложение.</t>
  </si>
  <si>
    <t>Total Football KZ</t>
  </si>
  <si>
    <t>Telegram-канал</t>
  </si>
  <si>
    <t>t.me/totalfootball_official</t>
  </si>
  <si>
    <t>Партнёрское размещение.</t>
  </si>
  <si>
    <t>Расписание футбольных матчей KZ</t>
  </si>
  <si>
    <t>kaz.tgstat.com/channel/@footballmatchkz</t>
  </si>
  <si>
    <t>tgstat.kz</t>
  </si>
  <si>
    <t>Канал охвата, не покупатель.</t>
  </si>
  <si>
    <t>Sports.kz / Vesti.kz — спортивные редакции</t>
  </si>
  <si>
    <t>СМИ</t>
  </si>
  <si>
    <t>sports.kz</t>
  </si>
  <si>
    <t>Email редакции</t>
  </si>
  <si>
    <t>Пресс-релиз о запуске первой казахстанской платформы для турниров — бесплатный охват.</t>
  </si>
  <si>
    <t>Sxodim Астана / Алматы</t>
  </si>
  <si>
    <t>Астана/Алматы</t>
  </si>
  <si>
    <t>Городской афишный портал</t>
  </si>
  <si>
    <t>Размещение анонсов турниров, которые ведём мы = входящие заявки от команд.</t>
  </si>
  <si>
    <t>Любительские лиги Караганды</t>
  </si>
  <si>
    <t>Поиск: регионы</t>
  </si>
  <si>
    <t>Караганды</t>
  </si>
  <si>
    <t>Задача на исследование</t>
  </si>
  <si>
    <t>Поиск → Instagram</t>
  </si>
  <si>
    <t>Метод: Instagram по тегам #карагандафутбол #лфлкараганда, 2GIS «спортивные мероприятия», поиск «любительская лига Караганда».</t>
  </si>
  <si>
    <t>Любительские лиги Шымкента</t>
  </si>
  <si>
    <t>Шымкент</t>
  </si>
  <si>
    <t>Третий по величине город, слабо охвачен конкурентами.</t>
  </si>
  <si>
    <t>Любительские лиги Актобе</t>
  </si>
  <si>
    <t>Актобе</t>
  </si>
  <si>
    <t>Любительские лиги Павлодара</t>
  </si>
  <si>
    <t>Павлодар</t>
  </si>
  <si>
    <t>В АБЛ играли команды из Павлодара и Темиртау — там есть активное комьюнити.</t>
  </si>
  <si>
    <t>Любительские лиги Усть-Каменогорска</t>
  </si>
  <si>
    <t>Хоккей, Волейбол</t>
  </si>
  <si>
    <t>Хоккейный город. Уже найдена волейбольная лига ВКО — просить у них контакты соседей.</t>
  </si>
  <si>
    <t>Любительские лиги Атырау и Актау</t>
  </si>
  <si>
    <t>Атырау/Актау</t>
  </si>
  <si>
    <t>Нефтяные регионы: корпоративные спартакиады с бюджетами.</t>
  </si>
  <si>
    <t>Любительские лиги Костаная и Петропавловска</t>
  </si>
  <si>
    <t>Футбол, Хоккей</t>
  </si>
  <si>
    <t>Костанай/Петропавловск</t>
  </si>
  <si>
    <t>Любительские лиги Тараза, Кызылорды, Уральска</t>
  </si>
  <si>
    <t>Тараз/Кызылорда/Уральск</t>
  </si>
  <si>
    <t>Любительские лиги Семея и Талдыкоргана</t>
  </si>
  <si>
    <t>Семей/Талдыкорган</t>
  </si>
  <si>
    <t>Любительские лиги Кокшетау и Туркестана</t>
  </si>
  <si>
    <t>Кокшетау/Туркестан</t>
  </si>
  <si>
    <t>Акмолинская областная ассоциация футбола</t>
  </si>
  <si>
    <t>Кокшетау</t>
  </si>
  <si>
    <t>Областная федерация</t>
  </si>
  <si>
    <t>Социалов Айдын Аскарович</t>
  </si>
  <si>
    <t>+7 701 177 17 16</t>
  </si>
  <si>
    <t>ffk_aqmola@mail.ru</t>
  </si>
  <si>
    <t>Актюбинская Федерация Футбола</t>
  </si>
  <si>
    <t>Калжанов Асхат Сагитжанович</t>
  </si>
  <si>
    <t>+7 707 151 01 27</t>
  </si>
  <si>
    <t>aoaf@list.ru</t>
  </si>
  <si>
    <t>Футбольная ассоциация Алматинской области</t>
  </si>
  <si>
    <t>Талдыкорган</t>
  </si>
  <si>
    <t>Акылбеков Асхат Айдаргалиулы</t>
  </si>
  <si>
    <t>+7 701 111 30 68</t>
  </si>
  <si>
    <t>gulnara_tk@mail.ru</t>
  </si>
  <si>
    <t>Ассоциация Федерация футбола Атырауской области</t>
  </si>
  <si>
    <t>Атырау</t>
  </si>
  <si>
    <t>Таханов Данияр Булатович</t>
  </si>
  <si>
    <t>+7 702 406 97 18</t>
  </si>
  <si>
    <t>atyrau_ff@mail.ru</t>
  </si>
  <si>
    <t>atyrauff.kz</t>
  </si>
  <si>
    <t>@atyrauff.kz</t>
  </si>
  <si>
    <t>Восточно-Казахстанская областная ассоциация футбола</t>
  </si>
  <si>
    <t>Аллахведиев Рамиз Адалат Оглы</t>
  </si>
  <si>
    <t>+7 705 271 60 96</t>
  </si>
  <si>
    <t>info@vkoaf.kz</t>
  </si>
  <si>
    <t>vkoaf.kz</t>
  </si>
  <si>
    <t>@shqfl.kz</t>
  </si>
  <si>
    <t>Федерация футбола Жамбылской области</t>
  </si>
  <si>
    <t>Тараз</t>
  </si>
  <si>
    <t>Джумабаев Алимбек Асембекович</t>
  </si>
  <si>
    <t>+7 775 429 65 05</t>
  </si>
  <si>
    <t>zhambylff@mail.ru</t>
  </si>
  <si>
    <t>tarazfootball.kz</t>
  </si>
  <si>
    <t>Западно-Казахстанская областная ассоциация по футболу</t>
  </si>
  <si>
    <t>Уральск</t>
  </si>
  <si>
    <t>Капаков Гайса Хамидуллович</t>
  </si>
  <si>
    <t>+7 701 723 37 13</t>
  </si>
  <si>
    <t>bko_football_association@bk.ru</t>
  </si>
  <si>
    <t>@bko_football_association</t>
  </si>
  <si>
    <t>Карагандинская областная ассоциация футбола</t>
  </si>
  <si>
    <t>Булекпаев Ермаганбет Кабдулович</t>
  </si>
  <si>
    <t>+7 700 456 36 75</t>
  </si>
  <si>
    <t>futbolkaraganda@mail.ru</t>
  </si>
  <si>
    <t>koaf.kz</t>
  </si>
  <si>
    <t>Футбольный Союз Костанайской области</t>
  </si>
  <si>
    <t>Костанай</t>
  </si>
  <si>
    <t>Спанов Ерлан Махмутович</t>
  </si>
  <si>
    <t>+7 701 535 73 33</t>
  </si>
  <si>
    <t>FCKO@inbox.ru</t>
  </si>
  <si>
    <t>@fcko_kst</t>
  </si>
  <si>
    <t>Кызылординская областная федерация футбола</t>
  </si>
  <si>
    <t>Кызылорда</t>
  </si>
  <si>
    <t>Кушербаев Болат Елеуович</t>
  </si>
  <si>
    <t>+7 771 593 20 70</t>
  </si>
  <si>
    <t>kzff@mail.ru</t>
  </si>
  <si>
    <t>ffko.kz</t>
  </si>
  <si>
    <t>@koff_kyzylorda</t>
  </si>
  <si>
    <t>Мангистауская областная федерация футбола</t>
  </si>
  <si>
    <t>Актау</t>
  </si>
  <si>
    <t>Тулепбергенов Марат Ходжабердыевич</t>
  </si>
  <si>
    <t>+7 702 516 85 08</t>
  </si>
  <si>
    <t>moffaktau@mail.ru</t>
  </si>
  <si>
    <t>moff.kz</t>
  </si>
  <si>
    <t>@moffaktau</t>
  </si>
  <si>
    <t>Ассоциация Федерация футбола Павлодарской области</t>
  </si>
  <si>
    <t>Садуов Ойрат Батаевич</t>
  </si>
  <si>
    <t>poff.kz@bk.ru</t>
  </si>
  <si>
    <t>poff.kz</t>
  </si>
  <si>
    <t>Телефон уточнить (на сайте только email).</t>
  </si>
  <si>
    <t>Ассоциация Федерация футбола СКО</t>
  </si>
  <si>
    <t>Асанов Женис Мухтарович</t>
  </si>
  <si>
    <t>+7 707 493 56 76</t>
  </si>
  <si>
    <t>asanov-zhenis@mail.ru</t>
  </si>
  <si>
    <t>Ассоциация Федерация футбола г. Шымкент</t>
  </si>
  <si>
    <t>Кайкибасов Даурен Көмекбайұлы</t>
  </si>
  <si>
    <t>+7 708 740 80 33</t>
  </si>
  <si>
    <t>Ассоциация футбола Туркестанской области</t>
  </si>
  <si>
    <t>Туркестан</t>
  </si>
  <si>
    <t>Абишов Нуралы Алмаханович</t>
  </si>
  <si>
    <t>Поиск контакта</t>
  </si>
  <si>
    <t>Контакты уточнить через kff.kz/regions.</t>
  </si>
  <si>
    <t>Федерация футбола области Жетісу</t>
  </si>
  <si>
    <t>Байсаринов Ерик Койшыбаевич</t>
  </si>
  <si>
    <t>+7 701 449 99 66</t>
  </si>
  <si>
    <t>Osdushtdk@mail.ru</t>
  </si>
  <si>
    <t>@ooffozh</t>
  </si>
  <si>
    <t>Федерация футбола области Абай</t>
  </si>
  <si>
    <t>Семей</t>
  </si>
  <si>
    <t>Байбеков Шалқар Заманбекұлы</t>
  </si>
  <si>
    <t>+7 701 705 72 76</t>
  </si>
  <si>
    <t>abai.futbolfederasiyasy2022@gmail.com</t>
  </si>
  <si>
    <t>@abai_football_federation</t>
  </si>
  <si>
    <t>BAQ Лига</t>
  </si>
  <si>
    <t>Из первой версии базы</t>
  </si>
  <si>
    <t>Контакты не заполнены — найти в Instagram/2GIS.</t>
  </si>
  <si>
    <t>Что означает</t>
  </si>
  <si>
    <t>Что делать дальше</t>
  </si>
  <si>
    <t>Срок следующего шага</t>
  </si>
  <si>
    <t>Норма конверсии в следующий шаг</t>
  </si>
  <si>
    <t>Лид в базе, ни одного касания</t>
  </si>
  <si>
    <t>Первое касание по каналу из колонки «Канал 1-го касания», текст — из листа «Скрипты»</t>
  </si>
  <si>
    <t>Сегодня</t>
  </si>
  <si>
    <t>100 процентов должно быть обработано</t>
  </si>
  <si>
    <t>В РАБОТЕ</t>
  </si>
  <si>
    <t>Написал или позвонил, ответа нет</t>
  </si>
  <si>
    <t>Follow-up 1 через 3 дня, follow-up 2 через 7 дней, follow-up 3 через 14 дней. После третьего — ЗАМОРОЖЕН</t>
  </si>
  <si>
    <t>3 / 7 / 14 дней</t>
  </si>
  <si>
    <t>25-35 процентов ответят</t>
  </si>
  <si>
    <t>ОТВЕТИЛ</t>
  </si>
  <si>
    <t>Есть диалог, интерес не подтверждён</t>
  </si>
  <si>
    <t>Задать 3 квалифицирующих вопроса (сколько команд, как ведёте таблицу сейчас, когда ближайший турнир) и позвать на демо</t>
  </si>
  <si>
    <t>1-2 дня</t>
  </si>
  <si>
    <t>50 процентов дойдут до демо</t>
  </si>
  <si>
    <t>ДЕМО</t>
  </si>
  <si>
    <t>Показал платформу вживую или по видеосвязи</t>
  </si>
  <si>
    <t>В тот же день прислать ссылку на их турнир, уже заведённый мной вручную. Это ключевой приём: не «попробуйте», а «вот ваш турнир, он готов»</t>
  </si>
  <si>
    <t>В тот же день</t>
  </si>
  <si>
    <t>40-60 процентов согласятся на пилот</t>
  </si>
  <si>
    <t>ПИЛОТ</t>
  </si>
  <si>
    <t>Ведут реальный турнир на Tournable</t>
  </si>
  <si>
    <t>Вести самому первые 2 тура. Собрать: отзыв, скриншот, цифры (сколько матчей, посещаемость публичной страницы)</t>
  </si>
  <si>
    <t>2-3 недели</t>
  </si>
  <si>
    <t>30-40 процентов конвертируются в оплату</t>
  </si>
  <si>
    <t>СЧЁТ</t>
  </si>
  <si>
    <t>Выставлено предложение или счёт</t>
  </si>
  <si>
    <t>Позвонить через 2 дня. Не писать, а звонить. Уточнить, кто подписывает и когда</t>
  </si>
  <si>
    <t>2 дня</t>
  </si>
  <si>
    <t>60 процентов оплатят</t>
  </si>
  <si>
    <t>ПЛАТИТ</t>
  </si>
  <si>
    <t>Есть оплата</t>
  </si>
  <si>
    <t>Попросить рекомендацию двух коллег-организаторов. Это самый дешёвый источник новых лидов</t>
  </si>
  <si>
    <t>Через 2 недели после оплаты</t>
  </si>
  <si>
    <t>1 клиент = 1-2 новых лида</t>
  </si>
  <si>
    <t>ЗАМОРОЖЕН</t>
  </si>
  <si>
    <t>Не ответил после 3 касаний или сказал «позже»</t>
  </si>
  <si>
    <t>Вернуться через 30 дней с новым поводом (новая функция, кейс соседней лиги, старт сезона)</t>
  </si>
  <si>
    <t>30 дней</t>
  </si>
  <si>
    <t>10-15 процентов оживают</t>
  </si>
  <si>
    <t>ОТКАЗ</t>
  </si>
  <si>
    <t>Явное «нет»</t>
  </si>
  <si>
    <t>Спросить причину одной фразой и записать в заметки. Отказы — главный источник понимания, что чинить в продукте</t>
  </si>
  <si>
    <t>Код</t>
  </si>
  <si>
    <t>Кому / когда</t>
  </si>
  <si>
    <t>Канал</t>
  </si>
  <si>
    <t>Текст сообщения</t>
  </si>
  <si>
    <t>Любительские лиги (футбол, хоккей, баскетбол, волейбол)</t>
  </si>
  <si>
    <t>Instagram Direct / WhatsApp</t>
  </si>
  <si>
    <t xml:space="preserve">Здравствуйте! Меня зовут Данияр, я делаю Tournable — казахстанскую платформу для проведения турниров.
Посмотрел вашу лигу. Если сейчас таблица и расписание ведутся вручную, это можно закрыть: сетка и календарь генерируются автоматически, таблица пересчитывается сама после каждого матча, у каждой команды и игрока своя публичная страница со статистикой, у зрителей — ссылка на табло матча.
Предложение простое: я сам заведу ваш ближайший тур в систему и пришлю ссылку. Вы посмотрите на своих командах и решите. Бесплатно и ни к чему не обязывает.
Скинуть ссылку?</t>
  </si>
  <si>
    <t>S1-повтор</t>
  </si>
  <si>
    <t>Follow-up 1 — через 3 дня</t>
  </si>
  <si>
    <t>Тот же канал</t>
  </si>
  <si>
    <t xml:space="preserve">Здравствуйте! Напоминаю о себе по поводу платформы для вашей лиги.
Чтобы не тратить ваше время на переписку, я уже завёл ваш турнир: &lt;ссылка&gt;. Загляните, там ваши команды и расписание. Если что-то не так — поправлю за 5 минут.</t>
  </si>
  <si>
    <t>S1-повтор2</t>
  </si>
  <si>
    <t>Follow-up 2 — через 7 дней</t>
  </si>
  <si>
    <t xml:space="preserve">Здравствуйте! Последний раз по этой теме, чтобы не быть навязчивым.
Если платформа сейчас не актуальна — просто напишите «не сейчас», и я вернусь ближе к следующему сезону. Если актуальна — 10 минут созвона хватит, чтобы всё показать.</t>
  </si>
  <si>
    <t>S1-повтор3</t>
  </si>
  <si>
    <t>Follow-up 3 — через 14 дней, закрывающее</t>
  </si>
  <si>
    <t xml:space="preserve">Здравствуйте! Закрываю вопрос с моей стороны, больше писать не буду.
Оставлю ссылку, пусть будет: tournable.app. Если когда-нибудь надоест вести таблицу в Excel — напишите, заведу ваш турнир за вечер.</t>
  </si>
  <si>
    <t>Университеты и студенческие лиги</t>
  </si>
  <si>
    <t>Email / Telegram студсовета</t>
  </si>
  <si>
    <t xml:space="preserve">Здравствуйте!
Я разработчик Tournable — казахстанской платформы для проведения спортивных турниров. Обращаюсь по поводу ваших внутренних соревнований (межфакультетская спартакиада, кубок университета).
Что даёт платформа: автоматические сетки и группы, живая таблица, публичная страница турнира со статистикой игроков, табло матча для трансляции на экран в зале, готовый отчёт в PDF по итогам.
Предлагаю провести ближайший турнир на платформе бесплатно, я сам всё настрою и буду вести. Взамен прошу только отзыв и разрешение использовать турнир как пример.
Готов приехать и показать за 15 минут.</t>
  </si>
  <si>
    <t>Event-агентства, организаторы, HR компаний</t>
  </si>
  <si>
    <t>WhatsApp / Email</t>
  </si>
  <si>
    <t xml:space="preserve">Здравствуйте!
Вы проводите корпоративные турниры и спартакиады. Предлагаю добавить к ним цифровую часть, которой сейчас нет почти ни у кого на рынке Казахстана:
— сетка и расписание генерируются за минуту, а не собираются в Excel;
— каждая команда заказчика видит свою страницу со статистикой игроков;
— на экран в зале выводится живое табло матча;
— по итогам заказчик получает брендированный PDF-отчёт: все результаты, бомбардиры, фото победителей. Это то, что HR потом показывает руководству.
Работать можем двумя способами: вы берёте платформу под свои турниры, либо я веду цифровую часть ваших мероприятий как подрядчик.
Могу показать на примере вашего последнего турнира — пришлите протоколы, соберу за вечер и покажу, как это выглядело бы.</t>
  </si>
  <si>
    <t>Арены, манежи, падел-клубы</t>
  </si>
  <si>
    <t>Instagram Direct / визит</t>
  </si>
  <si>
    <t xml:space="preserve">Здравствуйте!
У вас на площадке постоянно играют команды и проходят турниры. Предлагаю партнёрство.
Я делаю Tournable — платформу для проведения турниров. Предложение: я бесплатно провожу ваш ближайший турнир на платформе (сетка, таблица, табло, публичная страница), а вы взамен ставите ссылку в шапке профиля и рекомендуете организаторам, которые у вас арендуют.
Вам это добавляет ценности к аренде: не просто поле, а поле с готовой цифровой организацией турнира. Мне — доступ к организаторам.
Могу подъехать и показать за 10 минут.</t>
  </si>
  <si>
    <t>Детские школы и академии</t>
  </si>
  <si>
    <t>Звонок / WhatsApp</t>
  </si>
  <si>
    <t xml:space="preserve">Здравствуйте!
Я по поводу турниров вашей школы. Делаю платформу Tournable, она автоматически ведёт расписание, таблицу и статистику по каждому ребёнку.
Главное для вас: у каждого воспитанника появляется своя публичная страница — голы, передачи, сыгранные матчи. Родители это смотрят и пересылают друг другу. Для набора в школу работает лучше любой рекламы.
Ближайший турнир могу провести бесплатно, чтобы вы посмотрели на своих детях. Когда у вас следующий?</t>
  </si>
  <si>
    <t>Школьные лиги и управления образования</t>
  </si>
  <si>
    <t>Официальное письмо + звонок</t>
  </si>
  <si>
    <t xml:space="preserve">Тема: Цифровое сопровождение школьных соревнований
Здравствуйте!
ИП Tournable.app предлагает цифровое сопровождение школьных спортивных соревнований города.
Что получает организатор: автоматическое формирование расписания и сеток, онлайн-таблицы, доступные школам и родителям по ссылке, протоколы матчей, итоговый отчёт в PDF для отчётности.
Что получают школы: публичные страницы команд, статистика учеников, прозрачные результаты без спорных пересчётов.
Готовы провести ближайшие соревнования в пилотном режиме без оплаты, чтобы вы оценили результат.
С уважением, ИП Tournable.app, tournable.app</t>
  </si>
  <si>
    <t>Управления спорта и образования, акиматы</t>
  </si>
  <si>
    <t xml:space="preserve">Тема: Включение в перечень поставщиков услуг по организации спортивных мероприятий
Здравствуйте!
ИП Tournable.app — казахстанский разработчик платформы для проведения спортивных соревнований (tournable.app) и организатор турниров под ключ.
Просим рассмотреть возможность включения в перечень потенциальных поставщиков по услугам: организация и проведение спортивных соревнований, судейское и техническое сопровождение, цифровое обеспечение соревнований (расписание, протоколы, онлайн-результаты, итоговая отчётность).
Готовы провести пилотное мероприятие городского уровня для демонстрации возможностей.
С уважением, ИП Tournable.app</t>
  </si>
  <si>
    <t>Чаты организаторов, Telegram-каналы</t>
  </si>
  <si>
    <t xml:space="preserve">Не продавать первым сообщением. Порядок:
1. Вступить, 3-5 дней читать и отвечать по делу на чужие вопросы.
2. Выложить полезное без ссылки: например, готовый шаблон положения о турнире или разбор, как правильно считать разницу мячей при равенстве очков.
3. Только после этого: «Ребята, я сделал бесплатный сервис для сеток и таблиц, если кому надо — заведу ваш турнир сам, пишите в личку».</t>
  </si>
  <si>
    <t>ЗВОНОК</t>
  </si>
  <si>
    <t>Скрипт холодного звонка</t>
  </si>
  <si>
    <t xml:space="preserve">Приветствие: «Здравствуйте, это Данияр, платформа Tournable. Вам удобно говорить минуту?»
Причина звонка: «Звоню по поводу ваших турниров. Мы сделали платформу, которая автоматически ведёт расписание, таблицу и статистику. Работает по всему Казахстану, на трёх языках.»
Квалификация (три вопроса):
1. «Сколько команд обычно участвует?»
2. «Как сейчас ведёте таблицу и расписание — Excel, вручную, сайт?»
3. «Когда ближайший турнир?»
Предложение: «Давайте я заведу ваш ближайший турнир сам, бесплатно, и пришлю ссылку. Посмотрите на своих командах, дальше решите. Куда прислать — WhatsApp?»
Закрытие: «Записал. Пришлю сегодня до вечера, завтра наберу узнать впечатление.»
Правило: не рассказывать про цены на первом звонке. Цель звонка — только получить согласие на демо-турнир.</t>
  </si>
  <si>
    <t>ВОЗР-1</t>
  </si>
  <si>
    <t>Возражение: «Дорого»</t>
  </si>
  <si>
    <t>Любой</t>
  </si>
  <si>
    <t>«Понимаю. Смотрите: подписка 4 990 в месяц — это меньше, чем один час аренды поля. Если из-за платформы к вам придёт хотя бы одна дополнительная команда за сезон, она окупится в несколько раз. Плюс первый турнир мы проводим бесплатно — вы сначала видите результат, потом решаете про оплату.»</t>
  </si>
  <si>
    <t>ВОЗР-2</t>
  </si>
  <si>
    <t>Возражение: «У нас уже есть сайт / таблица в Excel»</t>
  </si>
  <si>
    <t>«Отлично, значит вы уже понимаете, сколько времени на это уходит. Вопрос не в том, чтобы заменить сайт, а в том, чтобы вы перестали вручную пересчитывать таблицу после каждого тура и вручную собирать статистику бомбардиров. Ссылку на турнир можно поставить прямо на ваш сайт. Давайте я параллельно проведу один тур — сравните трудозатраты.»</t>
  </si>
  <si>
    <t>ВОЗР-3</t>
  </si>
  <si>
    <t>Возражение: «Нет времени разбираться»</t>
  </si>
  <si>
    <t>«Разбираться и не нужно. Я сам завожу команды, сам ставлю расписание, сам веду первые два тура. От вас — только результаты матчей в WhatsApp, я вношу. Когда увидите, что это удобно, передам управление, там 10 минут обучения.»</t>
  </si>
  <si>
    <t>ВОЗР-4</t>
  </si>
  <si>
    <t>Возражение: «Пришлите коммерческое предложение»</t>
  </si>
  <si>
    <t xml:space="preserve">«Пришлю сегодня. Чтобы предложение было по делу, а не общим: сколько у вас команд и какой формат — круговой или с плей-офф? И на какой турнир смотрите — ближайший или следующий сезон?»
(Всегда получить два ответа. КП без квалификации уходит в никуда.)</t>
  </si>
  <si>
    <t>ВОЗР-5</t>
  </si>
  <si>
    <t>Возражение: «Мы подумаем / вернёмся позже»</t>
  </si>
  <si>
    <t xml:space="preserve">«Конечно. Давайте так: я не буду вас дёргать, но поставлю себе напоминание. Когда у вас старт следующего сезона — в сентябре? Наберу за две недели до, чтобы успеть всё настроить без спешки. Нормально?»
(Всегда уходить с конкретной датой следующего касания. «Я вам позвоню» без даты — потерянный лид.)</t>
  </si>
  <si>
    <t>ПОСЛЕ-ДЕМО</t>
  </si>
  <si>
    <t>Сообщение сразу после демо</t>
  </si>
  <si>
    <t xml:space="preserve">Спасибо за время! Как договорились:
— ваш турнир: &lt;ссылка&gt;
— публичная страница, которую можно кинуть командам: &lt;ссылка&gt;
— табло матча для экрана: &lt;ссылка&gt;
Первые два тура веду я, от вас только результаты в этот чат. Дальше решим по подписке. Стартуем с ближайшего тура?</t>
  </si>
  <si>
    <t>КП</t>
  </si>
  <si>
    <t>Короткое коммерческое предложение</t>
  </si>
  <si>
    <t>Email / WhatsApp</t>
  </si>
  <si>
    <t xml:space="preserve">Tournable — платформа для проведения спортивных турниров, Казахстан.
Что входит:
1. Автоматическая генерация календаря и сеток: круговой, плей-офф, группы плюс плей-офф, лига плюс плей-офф.
2. Живая таблица с автоматическим пересчётом, статистика игроков: голы, передачи, карточки.
3. Публичные страницы турнира, команд и игроков — открываются по ссылке без регистрации.
4. Табло матча в реальном времени для вывода на экран.
5. Отчёт по итогам турнира в PDF.
6. Три языка интерфейса: казахский, русский, английский.
7. До трёх со-редакторов: помощники ведут турнир вместе с вами.
Стоимость:
— Бесплатно: 1 активный турнир, до 16 команд.
— Pro: 4 990 ₸ в месяц или 44 990 ₸ в год — без ограничений по турнирам и командам, брендированные отчёты, со-редакторы.
— Проведение турнира под ключ силами нашей команды: от 250 000 ₸.
Первый турнир проводим бесплатно и настраиваем сами.
ИП Tournable.app, tournable.app</t>
  </si>
  <si>
    <t>ОТЗЫВ</t>
  </si>
  <si>
    <t>Запрос отзыва после пилота</t>
  </si>
  <si>
    <t xml:space="preserve">Турнир завершили, поздравляю с проведением!
Две просьбы, обе быстрые:
1. Напишите 2-3 предложения, что было удобно, а что нет. Это войдёт на сайт с указанием вашей лиги.
2. Подскажите двух коллег-организаторов, которым это тоже было бы полезно. Напишу им сам, вас упоминать не буду, если не хотите.</t>
  </si>
  <si>
    <t>РЕКОМЕНД</t>
  </si>
  <si>
    <t>Просьба о рекомендации у платящего клиента</t>
  </si>
  <si>
    <t xml:space="preserve">Здравствуйте! Вижу, турнир идёт полным ходом.
Просьба: если кто-то из знакомых организаторов спросит, чем вы ведёте таблицу — покиньте им ссылку. За каждого, кто перейдёт на платный план по вашей рекомендации, продлеваю вашу подписку на месяц бесплатно.</t>
  </si>
  <si>
    <t>Неделя</t>
  </si>
  <si>
    <t>День</t>
  </si>
  <si>
    <t>Действие</t>
  </si>
  <si>
    <t>Результат, который должен быть к вечеру</t>
  </si>
  <si>
    <t>Отметка</t>
  </si>
  <si>
    <t>1</t>
  </si>
  <si>
    <t>Отфильтровать лист «Лиды» по приоритету A. Это 30-35 организаций — ваш список на первую неделю</t>
  </si>
  <si>
    <t>Список A виден, ничего не добавляю сверх него</t>
  </si>
  <si>
    <t>Записать 60-секундное видео с экрана: создание турнира, ввод результата, публичная страница, табло. Без монтажа</t>
  </si>
  <si>
    <t>Файл video-demo.mp4 готов, отправляется в WhatsApp</t>
  </si>
  <si>
    <t>2</t>
  </si>
  <si>
    <t>Завести вручную по 1 турниру для 5 лидов приоритета A (по их реальным командам из Instagram)</t>
  </si>
  <si>
    <t>5 готовых ссылок «вот ваш турнир»</t>
  </si>
  <si>
    <t>Отправить 10 первых касаний по скрипту S1/S4. Всем — ссылка на их же турнир</t>
  </si>
  <si>
    <t>10 отправленных, статусы в CRM = В РАБОТЕ</t>
  </si>
  <si>
    <t>3</t>
  </si>
  <si>
    <t>Ещё 10 касаний. Обзвонить всех, у кого есть телефон (СК Эверест, Alpine Padel, QCF, KESL, Footballer)</t>
  </si>
  <si>
    <t>20 касаний суммарно, 3-5 диалогов</t>
  </si>
  <si>
    <t>4</t>
  </si>
  <si>
    <t>Follow-up 1 по вчерашним. Новые 10 касаний. Вступить в 5 Telegram-чатов организаторов</t>
  </si>
  <si>
    <t>30 касаний, вступил в чаты</t>
  </si>
  <si>
    <t>5</t>
  </si>
  <si>
    <t>Первые демо. Каждому после демо — сообщение ПОСЛЕ-ДЕМО в тот же час</t>
  </si>
  <si>
    <t>1-3 демо проведено</t>
  </si>
  <si>
    <t>6-7</t>
  </si>
  <si>
    <t>Опубликовать объявления: 2GIS, OLX, Instagram, Google Business (лист «Объявления»)</t>
  </si>
  <si>
    <t>4 живых объявления</t>
  </si>
  <si>
    <t>8-12</t>
  </si>
  <si>
    <t>40 новых касаний по приоритету A и B. Каждый день: 10 новых, follow-up по вчерашним</t>
  </si>
  <si>
    <t>70 касаний накопительно, 8-12 ответов</t>
  </si>
  <si>
    <t>8</t>
  </si>
  <si>
    <t>Зарегистрироваться поставщиком на goszakup.gov.kz, настроить фильтр по слову «соревнован»</t>
  </si>
  <si>
    <t>Регистрация есть, уведомления приходят</t>
  </si>
  <si>
    <t>10</t>
  </si>
  <si>
    <t>Договориться о первом пилоте. Вести его лично, не передавать</t>
  </si>
  <si>
    <t>1 подтверждённый пилот</t>
  </si>
  <si>
    <t>12</t>
  </si>
  <si>
    <t>Съездить на 2 площадки лично (Football Center, FootZone). Показать телефон, не презентацию</t>
  </si>
  <si>
    <t>2 личных встречи</t>
  </si>
  <si>
    <t>15-19</t>
  </si>
  <si>
    <t>Вести пилот. Каждый тур: обновить, выложить в сторис, отметить лигу</t>
  </si>
  <si>
    <t>Пилот идёт, есть живые данные</t>
  </si>
  <si>
    <t>30 касаний по сегментам «Корпоративные клиенты» и «Организаторы» со скриптом S3</t>
  </si>
  <si>
    <t>100 касаний накопительно</t>
  </si>
  <si>
    <t>17</t>
  </si>
  <si>
    <t>Собрать кейс с цифрами пилота: матчей, команд, просмотров публичной страницы</t>
  </si>
  <si>
    <t>1 страница кейса в PDF</t>
  </si>
  <si>
    <t>22-26</t>
  </si>
  <si>
    <t>Рассылка кейса всем, кто был ЗАМОРОЖЕН. Кейс — лучший повод для второго касания</t>
  </si>
  <si>
    <t>20 повторных касаний</t>
  </si>
  <si>
    <t>22</t>
  </si>
  <si>
    <t>Первый счёт. Не бояться назвать цену. Услуга под ключ, не подписка</t>
  </si>
  <si>
    <t>Выставлен 1-2 счёта</t>
  </si>
  <si>
    <t>26</t>
  </si>
  <si>
    <t>Разослать письма в управления спорта и образования (скрипт S7)</t>
  </si>
  <si>
    <t>5 официальных писем</t>
  </si>
  <si>
    <t>28-30</t>
  </si>
  <si>
    <t>Посчитать факт: касаний, ответов, демо, пилотов, оплат. Выкинуть сегменты с нулевой конверсией</t>
  </si>
  <si>
    <t>Таблица «Метрики» заполнена фактом</t>
  </si>
  <si>
    <t>Пакет</t>
  </si>
  <si>
    <t>Что входит</t>
  </si>
  <si>
    <t>Кому продавать</t>
  </si>
  <si>
    <t>Цена, ₸</t>
  </si>
  <si>
    <t>Скорость денег</t>
  </si>
  <si>
    <t>Pro-подписка</t>
  </si>
  <si>
    <t>Безлимит турниров и команд, все форматы, табло, экспорт PDF, до 3 со-редакторов</t>
  </si>
  <si>
    <t>Лиги, которые ведут сами</t>
  </si>
  <si>
    <t>4 990 в месяц / 44 990 в год</t>
  </si>
  <si>
    <t>Медленно, но повторяется</t>
  </si>
  <si>
    <t>Цифровое ведение турнира</t>
  </si>
  <si>
    <t>Завожу команды, ставлю расписание, веду результаты и статистику, публичная страница, табло, итоговый PDF-отчёт</t>
  </si>
  <si>
    <t>Лиги без своего администратора</t>
  </si>
  <si>
    <t>60 000 за турнир до 16 команд</t>
  </si>
  <si>
    <t>Быстро</t>
  </si>
  <si>
    <t>Сопровождение сезона</t>
  </si>
  <si>
    <t>То же, но на весь сезон лиги, плюс еженедельная выгрузка для соцсетей лиги</t>
  </si>
  <si>
    <t>Городские лиги на 8-24 команды</t>
  </si>
  <si>
    <t>150 000 за сезон</t>
  </si>
  <si>
    <t>Средне</t>
  </si>
  <si>
    <t>Турнир под ключ</t>
  </si>
  <si>
    <t>Площадка, судьи, мячи, форма, награды, фото, плюс вся цифровая часть и брендированный отчёт</t>
  </si>
  <si>
    <t>Компании, HR, event-агентства</t>
  </si>
  <si>
    <t>от 250 000 за турнир</t>
  </si>
  <si>
    <t>Самые быстрые деньги</t>
  </si>
  <si>
    <t>Корпоративная спартакиада</t>
  </si>
  <si>
    <t>3-5 видов спорта, до 20 команд, 1-2 дня, полный цикл, отчёт для руководства</t>
  </si>
  <si>
    <t>Нацкомпании, банки, IT</t>
  </si>
  <si>
    <t>от 700 000</t>
  </si>
  <si>
    <t>Самый крупный чек</t>
  </si>
  <si>
    <t>Медиапакет для спонсоров</t>
  </si>
  <si>
    <t>Брендирование публичных страниц и табло логотипом спонсора, отчёт с охватами</t>
  </si>
  <si>
    <t>Лиги, у которых есть спонсоры</t>
  </si>
  <si>
    <t>50 000 за турнир</t>
  </si>
  <si>
    <t>Подряд у event-агентства</t>
  </si>
  <si>
    <t>Только цифровая часть чужого мероприятия</t>
  </si>
  <si>
    <t>SPORT PROJECTS, SportEvents, Footballer</t>
  </si>
  <si>
    <t>40 000-80 000 за мероприятие</t>
  </si>
  <si>
    <t>Быстро, объёмом</t>
  </si>
  <si>
    <t>ВАЖНО</t>
  </si>
  <si>
    <t>Цены на услуги — предложение, а не проверенный рынком прайс. Первые три сделки можно закрыть дешевле ради кейса, но не бесплатно: бесплатный клиент не даёт ни отзыва, ни дисциплины.</t>
  </si>
  <si>
    <t>Площадка</t>
  </si>
  <si>
    <t>Что делать</t>
  </si>
  <si>
    <t>Готовый текст / заголовок</t>
  </si>
  <si>
    <t>Стоимость</t>
  </si>
  <si>
    <t>2GIS (2gis.kz)</t>
  </si>
  <si>
    <t>Зарегистрировать организацию: рубрики «Организация спортивных мероприятий», «Спортивные соревнования», «Разработка ПО». Заполнить фото, время работы, WhatsApp</t>
  </si>
  <si>
    <t xml:space="preserve">Название: Tournable — организация и цифровое сопровождение турниров
Описание: Проводим спортивные турниры и спартакиады под ключ в Астане: футбол, баскетбол, волейбол, хоккей, киберспорт. Автоматические сетки и таблицы, онлайн-табло, публичные страницы команд и игроков, итоговый отчёт. Работаем с компаниями, лигами, школами и вузами.</t>
  </si>
  <si>
    <t>Базовая карточка бесплатно</t>
  </si>
  <si>
    <t>OLX.kz</t>
  </si>
  <si>
    <t>Рубрика «Услуги» → «Организация мероприятий». 3 отдельных объявления: корпоративный турнир, ведение лиги, детский турнир. У каждого своя цена и фото</t>
  </si>
  <si>
    <t xml:space="preserve">Заголовок: Организация спортивного турнира под ключ — Астана
Текст: Проведём турнир для вашей компании, школы или лиги. Берём на себя всё: площадка, судьи, расписание, награждение. Отдельно — цифровая часть: онлайн-таблица, статистика игроков, табло на экран, брендированный отчёт после турнира. Футбол, волейбол, баскетбол, хоккей, киберспорт. От 250 000 ₸ за турнир. Цифровое ведение отдельно — от 60 000 ₸.</t>
  </si>
  <si>
    <t>Бесплатно, платное поднятие по желанию</t>
  </si>
  <si>
    <t>Instagram (бизнес-профиль)</t>
  </si>
  <si>
    <t>Перевести профиль в бизнес, в шапке: «Турниры под ключ. Астана», кнопка WhatsApp. Закреплённые сторис: как это выглядит, отзывы, цены</t>
  </si>
  <si>
    <t xml:space="preserve">Шапка профиля:
Турниры под ключ и онлайн-таблицы
Футбол · Баскетбол · Волейбол · Киберспорт
Астана и вся РК
Первый турнир проводим бесплатно
tournable.app</t>
  </si>
  <si>
    <t>Бесплатно</t>
  </si>
  <si>
    <t>Instagram (таргет)</t>
  </si>
  <si>
    <t>Аудитория: Астана, мужчины 22-45, интересы футбол/спорт. Цель — переписка в Direct, не переход на сайт. Креатив — видео с экрана, где за 20 секунд создаётся турнир</t>
  </si>
  <si>
    <t>Текст объявления: Ведёте турнир в Excel? Заведём вашу лигу за вечер: расписание, таблица, статистика игроков, табло для экрана. Напишите нам — первый турнир проведём бесплатно.</t>
  </si>
  <si>
    <t>От 15 000 ₸ в неделю</t>
  </si>
  <si>
    <t>Google Бизнес-профиль</t>
  </si>
  <si>
    <t>Создать профиль, категория «Организатор мероприятий». Даёт выдачу по «организация турнира астана»</t>
  </si>
  <si>
    <t>Тот же текст, что и в 2GIS</t>
  </si>
  <si>
    <t>Telegram: свой канал</t>
  </si>
  <si>
    <t>Завести канал турниров, публиковать каждый ведущийся турнир. Каждый турнир = контент = входящие заявки</t>
  </si>
  <si>
    <t>Формат поста: название турнира, участники, ссылка на таблицу, приглашение своей лиге сделать так же</t>
  </si>
  <si>
    <t>Telegram: чужие каналы</t>
  </si>
  <si>
    <t>Купить размещение в спортивных и городских каналах Астаны. Проверять охваты через tgstat перед оплатой</t>
  </si>
  <si>
    <t>Использовать текст объявления OLX, сокращённый до 4 строк</t>
  </si>
  <si>
    <t>15 000-60 000 ₸ за пост</t>
  </si>
  <si>
    <t>Регистрация как поставщик услуг. Фильтр по словам: соревнование, спартакиада, турнир, судейство, спортивное мероприятие</t>
  </si>
  <si>
    <t>Заявки подаются по форме портала, свободного текста нет</t>
  </si>
  <si>
    <t>Бесплатно, ЭЦП обязательна</t>
  </si>
  <si>
    <t>Satu.kz / Flip.kz-каталоги</t>
  </si>
  <si>
    <t>Разместить услугу в каталогах B2B-услуг Казахстана</t>
  </si>
  <si>
    <t>Тот же текст, что и на OLX</t>
  </si>
  <si>
    <t>Бесплатно / от 10 000 ₸</t>
  </si>
  <si>
    <t>Доски объявлений в чатах</t>
  </si>
  <si>
    <t>Городские Telegram-чаты Астаны, чаты жилых комплексов с спортплощадками, чаты вузов</t>
  </si>
  <si>
    <t>Короткий вариант: «Организуем турнир по футболу для вашей компании или двора. Сетка, судьи, награждение, онлайн-таблица. Астана. Пишите в личку.»</t>
  </si>
  <si>
    <t>Показатель</t>
  </si>
  <si>
    <t>Факт (считается автоматически)</t>
  </si>
  <si>
    <t>Цель за 30 дней</t>
  </si>
  <si>
    <t>Комментарий</t>
  </si>
  <si>
    <t>Всего лидов в базе</t>
  </si>
  <si>
    <t>Пополнять базу каждую неделю, иначе воронка высохнет</t>
  </si>
  <si>
    <t>Приоритет A</t>
  </si>
  <si>
    <t>Работать сверху вниз, не размазываться по всей базе</t>
  </si>
  <si>
    <t>Не тронуто (NEW)</t>
  </si>
  <si>
    <t>К концу месяца по приоритету A должно быть 0</t>
  </si>
  <si>
    <t>В работе</t>
  </si>
  <si>
    <t>Ответили</t>
  </si>
  <si>
    <t>Норма ответа 25-35 процентов от касаний</t>
  </si>
  <si>
    <t>Демо проведено</t>
  </si>
  <si>
    <t>Пилотов запущено</t>
  </si>
  <si>
    <t>Пилот — единственный надёжный предиктор оплаты</t>
  </si>
  <si>
    <t>Счетов выставлено</t>
  </si>
  <si>
    <t>Платят</t>
  </si>
  <si>
    <t>Две оплаты за первый месяц — реалистичная цель</t>
  </si>
  <si>
    <t>Отказы</t>
  </si>
  <si>
    <t>Отказ лучше молчания: у него есть причина, которую можно починить</t>
  </si>
  <si>
    <t>Потенциал платящих, ₸</t>
  </si>
  <si>
    <t>Сумма по колонке «Потенциал» у оплативших</t>
  </si>
  <si>
    <t>Потенциал воронки от ДЕМО, ₸</t>
  </si>
  <si>
    <t>Сколько денег сейчас в живой части воронки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</si>
</sst>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₸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left" vertical="center" wrapText="1"/>
    </xf>
    <xf numFmtId="164" fontId="1" fillId="2" borderId="0" xfId="0" applyNumberFormat="1" applyFont="1" applyFill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164" fontId="2" fillId="0" borderId="1" xfId="0" applyNumberFormat="1" applyFont="1" applyBorder="1" applyAlignment="1">
      <alignment vertical="top" wrapText="1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3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44" customWidth="1"/>
    <col min="4" max="4" width="20" customWidth="1"/>
    <col min="5" max="6" width="18" customWidth="1"/>
    <col min="7" max="7" width="40" customWidth="1"/>
    <col min="8" max="8" width="24" customWidth="1"/>
    <col min="9" max="9" width="18" customWidth="1"/>
    <col min="10" max="10" width="28" customWidth="1"/>
    <col min="11" max="11" width="30" customWidth="1"/>
    <col min="12" max="12" width="26" customWidth="1"/>
    <col min="13" max="13" width="24" customWidth="1"/>
    <col min="14" max="14" width="22" customWidth="1"/>
    <col min="15" max="16" width="14" customWidth="1"/>
    <col min="17" max="17" width="13" customWidth="1"/>
    <col min="18" max="18" width="26" customWidth="1"/>
    <col min="19" max="19" width="14" customWidth="1"/>
    <col min="20" max="20" width="14" style="1" customWidth="1"/>
    <col min="21" max="21" width="26" customWidth="1"/>
    <col min="22" max="22" width="70" customWidth="1"/>
  </cols>
  <sheetData>
    <row r="1" ht="30" customHeight="1" spans="1:2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2" t="s">
        <v>20</v>
      </c>
      <c r="V1" s="2" t="s">
        <v>21</v>
      </c>
    </row>
    <row r="2" spans="1:22" s="4" customFormat="1" x14ac:dyDescent="0.25">
      <c r="A2" s="5">
        <v>1</v>
      </c>
      <c r="B2" s="6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28</v>
      </c>
      <c r="I2" s="5" t="s">
        <v>28</v>
      </c>
      <c r="J2" s="5" t="s">
        <v>28</v>
      </c>
      <c r="K2" s="5" t="s">
        <v>29</v>
      </c>
      <c r="L2" s="5" t="s">
        <v>30</v>
      </c>
      <c r="M2" s="5" t="s">
        <v>28</v>
      </c>
      <c r="N2" s="5" t="s">
        <v>31</v>
      </c>
      <c r="O2" s="5" t="s">
        <v>32</v>
      </c>
      <c r="P2" s="5" t="s">
        <v>33</v>
      </c>
      <c r="Q2" s="5" t="s">
        <v>28</v>
      </c>
      <c r="R2" s="5" t="s">
        <v>28</v>
      </c>
      <c r="S2" s="5" t="s">
        <v>28</v>
      </c>
      <c r="T2" s="7">
        <v>60000</v>
      </c>
      <c r="U2" s="5" t="s">
        <v>34</v>
      </c>
      <c r="V2" s="5" t="s">
        <v>35</v>
      </c>
    </row>
    <row r="3" spans="1:22" s="4" customFormat="1" x14ac:dyDescent="0.25">
      <c r="A3" s="5">
        <v>2</v>
      </c>
      <c r="B3" s="6" t="s">
        <v>22</v>
      </c>
      <c r="C3" s="5" t="s">
        <v>36</v>
      </c>
      <c r="D3" s="5" t="s">
        <v>24</v>
      </c>
      <c r="E3" s="5" t="s">
        <v>25</v>
      </c>
      <c r="F3" s="5" t="s">
        <v>26</v>
      </c>
      <c r="G3" s="5" t="s">
        <v>37</v>
      </c>
      <c r="H3" s="5" t="s">
        <v>28</v>
      </c>
      <c r="I3" s="5" t="s">
        <v>28</v>
      </c>
      <c r="J3" s="5" t="s">
        <v>28</v>
      </c>
      <c r="K3" s="5" t="s">
        <v>38</v>
      </c>
      <c r="L3" s="5" t="s">
        <v>28</v>
      </c>
      <c r="M3" s="5" t="s">
        <v>28</v>
      </c>
      <c r="N3" s="5" t="s">
        <v>31</v>
      </c>
      <c r="O3" s="5" t="s">
        <v>32</v>
      </c>
      <c r="P3" s="5" t="s">
        <v>33</v>
      </c>
      <c r="Q3" s="5" t="s">
        <v>28</v>
      </c>
      <c r="R3" s="5" t="s">
        <v>28</v>
      </c>
      <c r="S3" s="5" t="s">
        <v>28</v>
      </c>
      <c r="T3" s="7">
        <v>60000</v>
      </c>
      <c r="U3" s="5" t="s">
        <v>38</v>
      </c>
      <c r="V3" s="5" t="s">
        <v>39</v>
      </c>
    </row>
    <row r="4" spans="1:22" s="4" customFormat="1" x14ac:dyDescent="0.25">
      <c r="A4" s="5">
        <v>3</v>
      </c>
      <c r="B4" s="6" t="s">
        <v>22</v>
      </c>
      <c r="C4" s="5" t="s">
        <v>40</v>
      </c>
      <c r="D4" s="5" t="s">
        <v>24</v>
      </c>
      <c r="E4" s="5" t="s">
        <v>25</v>
      </c>
      <c r="F4" s="5" t="s">
        <v>26</v>
      </c>
      <c r="G4" s="5" t="s">
        <v>37</v>
      </c>
      <c r="H4" s="5" t="s">
        <v>28</v>
      </c>
      <c r="I4" s="5" t="s">
        <v>28</v>
      </c>
      <c r="J4" s="5" t="s">
        <v>28</v>
      </c>
      <c r="K4" s="5" t="s">
        <v>28</v>
      </c>
      <c r="L4" s="5" t="s">
        <v>41</v>
      </c>
      <c r="M4" s="5" t="s">
        <v>28</v>
      </c>
      <c r="N4" s="5" t="s">
        <v>31</v>
      </c>
      <c r="O4" s="5" t="s">
        <v>32</v>
      </c>
      <c r="P4" s="5" t="s">
        <v>33</v>
      </c>
      <c r="Q4" s="5" t="s">
        <v>28</v>
      </c>
      <c r="R4" s="5" t="s">
        <v>28</v>
      </c>
      <c r="S4" s="5" t="s">
        <v>28</v>
      </c>
      <c r="T4" s="7">
        <v>60000</v>
      </c>
      <c r="U4" s="5" t="s">
        <v>42</v>
      </c>
      <c r="V4" s="5" t="s">
        <v>43</v>
      </c>
    </row>
    <row r="5" spans="1:22" s="4" customFormat="1" x14ac:dyDescent="0.25">
      <c r="A5" s="5">
        <v>4</v>
      </c>
      <c r="B5" s="6" t="s">
        <v>22</v>
      </c>
      <c r="C5" s="5" t="s">
        <v>44</v>
      </c>
      <c r="D5" s="5" t="s">
        <v>24</v>
      </c>
      <c r="E5" s="5" t="s">
        <v>45</v>
      </c>
      <c r="F5" s="5" t="s">
        <v>26</v>
      </c>
      <c r="G5" s="5" t="s">
        <v>37</v>
      </c>
      <c r="H5" s="5" t="s">
        <v>28</v>
      </c>
      <c r="I5" s="5" t="s">
        <v>28</v>
      </c>
      <c r="J5" s="5" t="s">
        <v>28</v>
      </c>
      <c r="K5" s="5" t="s">
        <v>46</v>
      </c>
      <c r="L5" s="5" t="s">
        <v>28</v>
      </c>
      <c r="M5" s="5" t="s">
        <v>28</v>
      </c>
      <c r="N5" s="5" t="s">
        <v>47</v>
      </c>
      <c r="O5" s="5" t="s">
        <v>32</v>
      </c>
      <c r="P5" s="5" t="s">
        <v>33</v>
      </c>
      <c r="Q5" s="5" t="s">
        <v>28</v>
      </c>
      <c r="R5" s="5" t="s">
        <v>28</v>
      </c>
      <c r="S5" s="5" t="s">
        <v>28</v>
      </c>
      <c r="T5" s="7">
        <v>60000</v>
      </c>
      <c r="U5" s="5" t="s">
        <v>48</v>
      </c>
      <c r="V5" s="5" t="s">
        <v>49</v>
      </c>
    </row>
    <row r="6" spans="1:22" s="4" customFormat="1" x14ac:dyDescent="0.25">
      <c r="A6" s="5">
        <v>5</v>
      </c>
      <c r="B6" s="6" t="s">
        <v>22</v>
      </c>
      <c r="C6" s="5" t="s">
        <v>50</v>
      </c>
      <c r="D6" s="5" t="s">
        <v>24</v>
      </c>
      <c r="E6" s="5" t="s">
        <v>45</v>
      </c>
      <c r="F6" s="5" t="s">
        <v>51</v>
      </c>
      <c r="G6" s="5" t="s">
        <v>52</v>
      </c>
      <c r="H6" s="5" t="s">
        <v>28</v>
      </c>
      <c r="I6" s="5" t="s">
        <v>28</v>
      </c>
      <c r="J6" s="5" t="s">
        <v>28</v>
      </c>
      <c r="K6" s="5" t="s">
        <v>53</v>
      </c>
      <c r="L6" s="5" t="s">
        <v>28</v>
      </c>
      <c r="M6" s="5" t="s">
        <v>28</v>
      </c>
      <c r="N6" s="5" t="s">
        <v>54</v>
      </c>
      <c r="O6" s="5" t="s">
        <v>32</v>
      </c>
      <c r="P6" s="5" t="s">
        <v>33</v>
      </c>
      <c r="Q6" s="5" t="s">
        <v>28</v>
      </c>
      <c r="R6" s="5" t="s">
        <v>28</v>
      </c>
      <c r="S6" s="5" t="s">
        <v>28</v>
      </c>
      <c r="T6" s="7">
        <v>80000</v>
      </c>
      <c r="U6" s="5" t="s">
        <v>55</v>
      </c>
      <c r="V6" s="5" t="s">
        <v>56</v>
      </c>
    </row>
    <row r="7" spans="1:22" s="4" customFormat="1" x14ac:dyDescent="0.25">
      <c r="A7" s="5">
        <v>6</v>
      </c>
      <c r="B7" s="6" t="s">
        <v>22</v>
      </c>
      <c r="C7" s="5" t="s">
        <v>57</v>
      </c>
      <c r="D7" s="5" t="s">
        <v>24</v>
      </c>
      <c r="E7" s="5" t="s">
        <v>45</v>
      </c>
      <c r="F7" s="5" t="s">
        <v>58</v>
      </c>
      <c r="G7" s="5" t="s">
        <v>59</v>
      </c>
      <c r="H7" s="5" t="s">
        <v>28</v>
      </c>
      <c r="I7" s="5" t="s">
        <v>28</v>
      </c>
      <c r="J7" s="5" t="s">
        <v>28</v>
      </c>
      <c r="K7" s="5" t="s">
        <v>60</v>
      </c>
      <c r="L7" s="5" t="s">
        <v>28</v>
      </c>
      <c r="M7" s="5" t="s">
        <v>28</v>
      </c>
      <c r="N7" s="5" t="s">
        <v>47</v>
      </c>
      <c r="O7" s="5" t="s">
        <v>32</v>
      </c>
      <c r="P7" s="5" t="s">
        <v>33</v>
      </c>
      <c r="Q7" s="5" t="s">
        <v>28</v>
      </c>
      <c r="R7" s="5" t="s">
        <v>28</v>
      </c>
      <c r="S7" s="5" t="s">
        <v>28</v>
      </c>
      <c r="T7" s="7">
        <v>90000</v>
      </c>
      <c r="U7" s="5" t="s">
        <v>61</v>
      </c>
      <c r="V7" s="5" t="s">
        <v>62</v>
      </c>
    </row>
    <row r="8" spans="1:22" s="4" customFormat="1" x14ac:dyDescent="0.25">
      <c r="A8" s="5">
        <v>7</v>
      </c>
      <c r="B8" s="6" t="s">
        <v>22</v>
      </c>
      <c r="C8" s="5" t="s">
        <v>63</v>
      </c>
      <c r="D8" s="5" t="s">
        <v>24</v>
      </c>
      <c r="E8" s="5" t="s">
        <v>64</v>
      </c>
      <c r="F8" s="5" t="s">
        <v>26</v>
      </c>
      <c r="G8" s="5" t="s">
        <v>65</v>
      </c>
      <c r="H8" s="5" t="s">
        <v>28</v>
      </c>
      <c r="I8" s="5" t="s">
        <v>28</v>
      </c>
      <c r="J8" s="5" t="s">
        <v>28</v>
      </c>
      <c r="K8" s="5" t="s">
        <v>66</v>
      </c>
      <c r="L8" s="5" t="s">
        <v>67</v>
      </c>
      <c r="M8" s="5" t="s">
        <v>68</v>
      </c>
      <c r="N8" s="5" t="s">
        <v>69</v>
      </c>
      <c r="O8" s="5" t="s">
        <v>32</v>
      </c>
      <c r="P8" s="5" t="s">
        <v>33</v>
      </c>
      <c r="Q8" s="5" t="s">
        <v>28</v>
      </c>
      <c r="R8" s="5" t="s">
        <v>28</v>
      </c>
      <c r="S8" s="5" t="s">
        <v>28</v>
      </c>
      <c r="T8" s="7">
        <v>80000</v>
      </c>
      <c r="U8" s="5" t="s">
        <v>70</v>
      </c>
      <c r="V8" s="5" t="s">
        <v>71</v>
      </c>
    </row>
    <row r="9" spans="1:22" s="4" customFormat="1" x14ac:dyDescent="0.25">
      <c r="A9" s="5">
        <v>8</v>
      </c>
      <c r="B9" s="6" t="s">
        <v>22</v>
      </c>
      <c r="C9" s="5" t="s">
        <v>72</v>
      </c>
      <c r="D9" s="5" t="s">
        <v>24</v>
      </c>
      <c r="E9" s="5" t="s">
        <v>64</v>
      </c>
      <c r="F9" s="5" t="s">
        <v>26</v>
      </c>
      <c r="G9" s="5" t="s">
        <v>73</v>
      </c>
      <c r="H9" s="5" t="s">
        <v>28</v>
      </c>
      <c r="I9" s="5" t="s">
        <v>28</v>
      </c>
      <c r="J9" s="5" t="s">
        <v>28</v>
      </c>
      <c r="K9" s="5" t="s">
        <v>28</v>
      </c>
      <c r="L9" s="5" t="s">
        <v>74</v>
      </c>
      <c r="M9" s="5" t="s">
        <v>28</v>
      </c>
      <c r="N9" s="5" t="s">
        <v>31</v>
      </c>
      <c r="O9" s="5" t="s">
        <v>32</v>
      </c>
      <c r="P9" s="5" t="s">
        <v>33</v>
      </c>
      <c r="Q9" s="5" t="s">
        <v>28</v>
      </c>
      <c r="R9" s="5" t="s">
        <v>28</v>
      </c>
      <c r="S9" s="5" t="s">
        <v>28</v>
      </c>
      <c r="T9" s="7">
        <v>60000</v>
      </c>
      <c r="U9" s="5" t="s">
        <v>75</v>
      </c>
      <c r="V9" s="5" t="s">
        <v>76</v>
      </c>
    </row>
    <row r="10" spans="1:22" s="4" customFormat="1" x14ac:dyDescent="0.25">
      <c r="A10" s="5">
        <v>9</v>
      </c>
      <c r="B10" s="6" t="s">
        <v>22</v>
      </c>
      <c r="C10" s="5" t="s">
        <v>77</v>
      </c>
      <c r="D10" s="5" t="s">
        <v>24</v>
      </c>
      <c r="E10" s="5" t="s">
        <v>64</v>
      </c>
      <c r="F10" s="5" t="s">
        <v>26</v>
      </c>
      <c r="G10" s="5" t="s">
        <v>78</v>
      </c>
      <c r="H10" s="5" t="s">
        <v>28</v>
      </c>
      <c r="I10" s="5" t="s">
        <v>28</v>
      </c>
      <c r="J10" s="5" t="s">
        <v>28</v>
      </c>
      <c r="K10" s="5" t="s">
        <v>79</v>
      </c>
      <c r="L10" s="5" t="s">
        <v>80</v>
      </c>
      <c r="M10" s="5" t="s">
        <v>28</v>
      </c>
      <c r="N10" s="5" t="s">
        <v>31</v>
      </c>
      <c r="O10" s="5" t="s">
        <v>32</v>
      </c>
      <c r="P10" s="5" t="s">
        <v>33</v>
      </c>
      <c r="Q10" s="5" t="s">
        <v>28</v>
      </c>
      <c r="R10" s="5" t="s">
        <v>28</v>
      </c>
      <c r="S10" s="5" t="s">
        <v>28</v>
      </c>
      <c r="T10" s="7">
        <v>60000</v>
      </c>
      <c r="U10" s="5" t="s">
        <v>81</v>
      </c>
      <c r="V10" s="5" t="s">
        <v>82</v>
      </c>
    </row>
    <row r="11" spans="1:22" s="4" customFormat="1" x14ac:dyDescent="0.25">
      <c r="A11" s="5">
        <v>10</v>
      </c>
      <c r="B11" s="8" t="s">
        <v>83</v>
      </c>
      <c r="C11" s="5" t="s">
        <v>84</v>
      </c>
      <c r="D11" s="5" t="s">
        <v>24</v>
      </c>
      <c r="E11" s="5" t="s">
        <v>85</v>
      </c>
      <c r="F11" s="5" t="s">
        <v>26</v>
      </c>
      <c r="G11" s="5" t="s">
        <v>86</v>
      </c>
      <c r="H11" s="5" t="s">
        <v>28</v>
      </c>
      <c r="I11" s="5" t="s">
        <v>28</v>
      </c>
      <c r="J11" s="5" t="s">
        <v>28</v>
      </c>
      <c r="K11" s="5" t="s">
        <v>28</v>
      </c>
      <c r="L11" s="5" t="s">
        <v>87</v>
      </c>
      <c r="M11" s="5" t="s">
        <v>28</v>
      </c>
      <c r="N11" s="5" t="s">
        <v>31</v>
      </c>
      <c r="O11" s="5" t="s">
        <v>32</v>
      </c>
      <c r="P11" s="5" t="s">
        <v>33</v>
      </c>
      <c r="Q11" s="5" t="s">
        <v>28</v>
      </c>
      <c r="R11" s="5" t="s">
        <v>28</v>
      </c>
      <c r="S11" s="5" t="s">
        <v>28</v>
      </c>
      <c r="T11" s="7">
        <v>35000</v>
      </c>
      <c r="U11" s="5" t="s">
        <v>88</v>
      </c>
      <c r="V11" s="5" t="s">
        <v>89</v>
      </c>
    </row>
    <row r="12" spans="1:22" s="4" customFormat="1" x14ac:dyDescent="0.25">
      <c r="A12" s="5">
        <v>11</v>
      </c>
      <c r="B12" s="6" t="s">
        <v>22</v>
      </c>
      <c r="C12" s="5" t="s">
        <v>90</v>
      </c>
      <c r="D12" s="5" t="s">
        <v>24</v>
      </c>
      <c r="E12" s="5" t="s">
        <v>64</v>
      </c>
      <c r="F12" s="5" t="s">
        <v>51</v>
      </c>
      <c r="G12" s="5" t="s">
        <v>91</v>
      </c>
      <c r="H12" s="5" t="s">
        <v>28</v>
      </c>
      <c r="I12" s="5" t="s">
        <v>28</v>
      </c>
      <c r="J12" s="5" t="s">
        <v>28</v>
      </c>
      <c r="K12" s="5" t="s">
        <v>92</v>
      </c>
      <c r="L12" s="5" t="s">
        <v>28</v>
      </c>
      <c r="M12" s="5" t="s">
        <v>28</v>
      </c>
      <c r="N12" s="5" t="s">
        <v>47</v>
      </c>
      <c r="O12" s="5" t="s">
        <v>32</v>
      </c>
      <c r="P12" s="5" t="s">
        <v>33</v>
      </c>
      <c r="Q12" s="5" t="s">
        <v>28</v>
      </c>
      <c r="R12" s="5" t="s">
        <v>28</v>
      </c>
      <c r="S12" s="5" t="s">
        <v>28</v>
      </c>
      <c r="T12" s="7">
        <v>60000</v>
      </c>
      <c r="U12" s="5" t="s">
        <v>92</v>
      </c>
      <c r="V12" s="5" t="s">
        <v>93</v>
      </c>
    </row>
    <row r="13" spans="1:22" s="4" customFormat="1" x14ac:dyDescent="0.25">
      <c r="A13" s="5">
        <v>12</v>
      </c>
      <c r="B13" s="6" t="s">
        <v>22</v>
      </c>
      <c r="C13" s="5" t="s">
        <v>94</v>
      </c>
      <c r="D13" s="5" t="s">
        <v>24</v>
      </c>
      <c r="E13" s="5" t="s">
        <v>95</v>
      </c>
      <c r="F13" s="5" t="s">
        <v>26</v>
      </c>
      <c r="G13" s="5" t="s">
        <v>96</v>
      </c>
      <c r="H13" s="5" t="s">
        <v>97</v>
      </c>
      <c r="I13" s="5" t="s">
        <v>28</v>
      </c>
      <c r="J13" s="5" t="s">
        <v>28</v>
      </c>
      <c r="K13" s="5" t="s">
        <v>28</v>
      </c>
      <c r="L13" s="5" t="s">
        <v>28</v>
      </c>
      <c r="M13" s="5" t="s">
        <v>28</v>
      </c>
      <c r="N13" s="5" t="s">
        <v>98</v>
      </c>
      <c r="O13" s="5" t="s">
        <v>32</v>
      </c>
      <c r="P13" s="5" t="s">
        <v>33</v>
      </c>
      <c r="Q13" s="5" t="s">
        <v>28</v>
      </c>
      <c r="R13" s="5" t="s">
        <v>28</v>
      </c>
      <c r="S13" s="5" t="s">
        <v>28</v>
      </c>
      <c r="T13" s="7">
        <v>60000</v>
      </c>
      <c r="U13" s="5" t="s">
        <v>99</v>
      </c>
      <c r="V13" s="5" t="s">
        <v>100</v>
      </c>
    </row>
    <row r="14" spans="1:22" s="4" customFormat="1" x14ac:dyDescent="0.25">
      <c r="A14" s="5">
        <v>13</v>
      </c>
      <c r="B14" s="8" t="s">
        <v>83</v>
      </c>
      <c r="C14" s="5" t="s">
        <v>101</v>
      </c>
      <c r="D14" s="5" t="s">
        <v>24</v>
      </c>
      <c r="E14" s="5" t="s">
        <v>95</v>
      </c>
      <c r="F14" s="5" t="s">
        <v>102</v>
      </c>
      <c r="G14" s="5" t="s">
        <v>103</v>
      </c>
      <c r="H14" s="5" t="s">
        <v>28</v>
      </c>
      <c r="I14" s="5" t="s">
        <v>28</v>
      </c>
      <c r="J14" s="5" t="s">
        <v>28</v>
      </c>
      <c r="K14" s="5" t="s">
        <v>104</v>
      </c>
      <c r="L14" s="5" t="s">
        <v>28</v>
      </c>
      <c r="M14" s="5" t="s">
        <v>28</v>
      </c>
      <c r="N14" s="5" t="s">
        <v>105</v>
      </c>
      <c r="O14" s="5" t="s">
        <v>32</v>
      </c>
      <c r="P14" s="5" t="s">
        <v>33</v>
      </c>
      <c r="Q14" s="5" t="s">
        <v>28</v>
      </c>
      <c r="R14" s="5" t="s">
        <v>28</v>
      </c>
      <c r="S14" s="5" t="s">
        <v>28</v>
      </c>
      <c r="T14" s="7">
        <v>50000</v>
      </c>
      <c r="U14" s="5" t="s">
        <v>104</v>
      </c>
      <c r="V14" s="5" t="s">
        <v>106</v>
      </c>
    </row>
    <row r="15" spans="1:22" s="4" customFormat="1" x14ac:dyDescent="0.25">
      <c r="A15" s="5">
        <v>14</v>
      </c>
      <c r="B15" s="8" t="s">
        <v>83</v>
      </c>
      <c r="C15" s="5" t="s">
        <v>107</v>
      </c>
      <c r="D15" s="5" t="s">
        <v>24</v>
      </c>
      <c r="E15" s="5" t="s">
        <v>25</v>
      </c>
      <c r="F15" s="5" t="s">
        <v>51</v>
      </c>
      <c r="G15" s="5" t="s">
        <v>108</v>
      </c>
      <c r="H15" s="5" t="s">
        <v>28</v>
      </c>
      <c r="I15" s="5" t="s">
        <v>28</v>
      </c>
      <c r="J15" s="5" t="s">
        <v>28</v>
      </c>
      <c r="K15" s="5" t="s">
        <v>109</v>
      </c>
      <c r="L15" s="5" t="s">
        <v>28</v>
      </c>
      <c r="M15" s="5" t="s">
        <v>28</v>
      </c>
      <c r="N15" s="5" t="s">
        <v>110</v>
      </c>
      <c r="O15" s="5" t="s">
        <v>32</v>
      </c>
      <c r="P15" s="5" t="s">
        <v>33</v>
      </c>
      <c r="Q15" s="5" t="s">
        <v>28</v>
      </c>
      <c r="R15" s="5" t="s">
        <v>28</v>
      </c>
      <c r="S15" s="5" t="s">
        <v>28</v>
      </c>
      <c r="T15" s="7">
        <v>60000</v>
      </c>
      <c r="U15" s="5" t="s">
        <v>109</v>
      </c>
      <c r="V15" s="5" t="s">
        <v>111</v>
      </c>
    </row>
    <row r="16" spans="1:22" s="4" customFormat="1" x14ac:dyDescent="0.25">
      <c r="A16" s="5">
        <v>15</v>
      </c>
      <c r="B16" s="6" t="s">
        <v>22</v>
      </c>
      <c r="C16" s="5" t="s">
        <v>112</v>
      </c>
      <c r="D16" s="5" t="s">
        <v>113</v>
      </c>
      <c r="E16" s="5" t="s">
        <v>25</v>
      </c>
      <c r="F16" s="5" t="s">
        <v>51</v>
      </c>
      <c r="G16" s="5" t="s">
        <v>114</v>
      </c>
      <c r="H16" s="5" t="s">
        <v>28</v>
      </c>
      <c r="I16" s="5" t="s">
        <v>28</v>
      </c>
      <c r="J16" s="5" t="s">
        <v>28</v>
      </c>
      <c r="K16" s="5" t="s">
        <v>115</v>
      </c>
      <c r="L16" s="5" t="s">
        <v>28</v>
      </c>
      <c r="M16" s="5" t="s">
        <v>28</v>
      </c>
      <c r="N16" s="5" t="s">
        <v>105</v>
      </c>
      <c r="O16" s="5" t="s">
        <v>116</v>
      </c>
      <c r="P16" s="5" t="s">
        <v>33</v>
      </c>
      <c r="Q16" s="5" t="s">
        <v>28</v>
      </c>
      <c r="R16" s="5" t="s">
        <v>28</v>
      </c>
      <c r="S16" s="5" t="s">
        <v>28</v>
      </c>
      <c r="T16" s="7">
        <v>150000</v>
      </c>
      <c r="U16" s="5" t="s">
        <v>109</v>
      </c>
      <c r="V16" s="5" t="s">
        <v>117</v>
      </c>
    </row>
    <row r="17" spans="1:22" s="4" customFormat="1" x14ac:dyDescent="0.25">
      <c r="A17" s="5">
        <v>16</v>
      </c>
      <c r="B17" s="8" t="s">
        <v>83</v>
      </c>
      <c r="C17" s="5" t="s">
        <v>118</v>
      </c>
      <c r="D17" s="5" t="s">
        <v>24</v>
      </c>
      <c r="E17" s="5" t="s">
        <v>25</v>
      </c>
      <c r="F17" s="5" t="s">
        <v>51</v>
      </c>
      <c r="G17" s="5" t="s">
        <v>37</v>
      </c>
      <c r="H17" s="5" t="s">
        <v>28</v>
      </c>
      <c r="I17" s="5" t="s">
        <v>28</v>
      </c>
      <c r="J17" s="5" t="s">
        <v>28</v>
      </c>
      <c r="K17" s="5" t="s">
        <v>119</v>
      </c>
      <c r="L17" s="5" t="s">
        <v>28</v>
      </c>
      <c r="M17" s="5" t="s">
        <v>28</v>
      </c>
      <c r="N17" s="5" t="s">
        <v>105</v>
      </c>
      <c r="O17" s="5" t="s">
        <v>32</v>
      </c>
      <c r="P17" s="5" t="s">
        <v>33</v>
      </c>
      <c r="Q17" s="5" t="s">
        <v>28</v>
      </c>
      <c r="R17" s="5" t="s">
        <v>28</v>
      </c>
      <c r="S17" s="5" t="s">
        <v>28</v>
      </c>
      <c r="T17" s="7">
        <v>50000</v>
      </c>
      <c r="U17" s="5" t="s">
        <v>119</v>
      </c>
      <c r="V17" s="5" t="s">
        <v>28</v>
      </c>
    </row>
    <row r="18" spans="1:22" s="4" customFormat="1" x14ac:dyDescent="0.25">
      <c r="A18" s="5">
        <v>17</v>
      </c>
      <c r="B18" s="6" t="s">
        <v>22</v>
      </c>
      <c r="C18" s="5" t="s">
        <v>120</v>
      </c>
      <c r="D18" s="5" t="s">
        <v>121</v>
      </c>
      <c r="E18" s="5" t="s">
        <v>121</v>
      </c>
      <c r="F18" s="5" t="s">
        <v>26</v>
      </c>
      <c r="G18" s="5" t="s">
        <v>122</v>
      </c>
      <c r="H18" s="5" t="s">
        <v>28</v>
      </c>
      <c r="I18" s="5" t="s">
        <v>123</v>
      </c>
      <c r="J18" s="5" t="s">
        <v>124</v>
      </c>
      <c r="K18" s="5" t="s">
        <v>125</v>
      </c>
      <c r="L18" s="5" t="s">
        <v>126</v>
      </c>
      <c r="M18" s="5" t="s">
        <v>127</v>
      </c>
      <c r="N18" s="5" t="s">
        <v>128</v>
      </c>
      <c r="O18" s="5" t="s">
        <v>116</v>
      </c>
      <c r="P18" s="5" t="s">
        <v>33</v>
      </c>
      <c r="Q18" s="5" t="s">
        <v>28</v>
      </c>
      <c r="R18" s="5" t="s">
        <v>28</v>
      </c>
      <c r="S18" s="5" t="s">
        <v>28</v>
      </c>
      <c r="T18" s="7">
        <v>200000</v>
      </c>
      <c r="U18" s="5" t="s">
        <v>129</v>
      </c>
      <c r="V18" s="5" t="s">
        <v>130</v>
      </c>
    </row>
    <row r="19" spans="1:22" s="4" customFormat="1" x14ac:dyDescent="0.25">
      <c r="A19" s="5">
        <v>18</v>
      </c>
      <c r="B19" s="6" t="s">
        <v>22</v>
      </c>
      <c r="C19" s="5" t="s">
        <v>131</v>
      </c>
      <c r="D19" s="5" t="s">
        <v>121</v>
      </c>
      <c r="E19" s="5" t="s">
        <v>121</v>
      </c>
      <c r="F19" s="5" t="s">
        <v>58</v>
      </c>
      <c r="G19" s="5" t="s">
        <v>132</v>
      </c>
      <c r="H19" s="5" t="s">
        <v>133</v>
      </c>
      <c r="I19" s="5" t="s">
        <v>134</v>
      </c>
      <c r="J19" s="5" t="s">
        <v>135</v>
      </c>
      <c r="K19" s="5" t="s">
        <v>136</v>
      </c>
      <c r="L19" s="5" t="s">
        <v>126</v>
      </c>
      <c r="M19" s="5" t="s">
        <v>137</v>
      </c>
      <c r="N19" s="5" t="s">
        <v>138</v>
      </c>
      <c r="O19" s="5" t="s">
        <v>139</v>
      </c>
      <c r="P19" s="5" t="s">
        <v>33</v>
      </c>
      <c r="Q19" s="5" t="s">
        <v>28</v>
      </c>
      <c r="R19" s="5" t="s">
        <v>28</v>
      </c>
      <c r="S19" s="5" t="s">
        <v>28</v>
      </c>
      <c r="T19" s="7">
        <v>80000</v>
      </c>
      <c r="U19" s="5" t="s">
        <v>140</v>
      </c>
      <c r="V19" s="5" t="s">
        <v>141</v>
      </c>
    </row>
    <row r="20" spans="1:22" s="4" customFormat="1" x14ac:dyDescent="0.25">
      <c r="A20" s="5">
        <v>19</v>
      </c>
      <c r="B20" s="8" t="s">
        <v>83</v>
      </c>
      <c r="C20" s="5" t="s">
        <v>142</v>
      </c>
      <c r="D20" s="5" t="s">
        <v>121</v>
      </c>
      <c r="E20" s="5" t="s">
        <v>121</v>
      </c>
      <c r="F20" s="5" t="s">
        <v>143</v>
      </c>
      <c r="G20" s="5" t="s">
        <v>144</v>
      </c>
      <c r="H20" s="5" t="s">
        <v>28</v>
      </c>
      <c r="I20" s="5" t="s">
        <v>28</v>
      </c>
      <c r="J20" s="5" t="s">
        <v>28</v>
      </c>
      <c r="K20" s="5" t="s">
        <v>145</v>
      </c>
      <c r="L20" s="5" t="s">
        <v>28</v>
      </c>
      <c r="M20" s="5" t="s">
        <v>28</v>
      </c>
      <c r="N20" s="5" t="s">
        <v>105</v>
      </c>
      <c r="O20" s="5" t="s">
        <v>32</v>
      </c>
      <c r="P20" s="5" t="s">
        <v>33</v>
      </c>
      <c r="Q20" s="5" t="s">
        <v>28</v>
      </c>
      <c r="R20" s="5" t="s">
        <v>28</v>
      </c>
      <c r="S20" s="5" t="s">
        <v>28</v>
      </c>
      <c r="T20" s="7">
        <v>40000</v>
      </c>
      <c r="U20" s="5" t="s">
        <v>145</v>
      </c>
      <c r="V20" s="5" t="s">
        <v>146</v>
      </c>
    </row>
    <row r="21" spans="1:22" s="4" customFormat="1" x14ac:dyDescent="0.25">
      <c r="A21" s="5">
        <v>20</v>
      </c>
      <c r="B21" s="8" t="s">
        <v>83</v>
      </c>
      <c r="C21" s="5" t="s">
        <v>147</v>
      </c>
      <c r="D21" s="5" t="s">
        <v>121</v>
      </c>
      <c r="E21" s="5" t="s">
        <v>121</v>
      </c>
      <c r="F21" s="5" t="s">
        <v>148</v>
      </c>
      <c r="G21" s="5" t="s">
        <v>149</v>
      </c>
      <c r="H21" s="5" t="s">
        <v>28</v>
      </c>
      <c r="I21" s="5" t="s">
        <v>28</v>
      </c>
      <c r="J21" s="5" t="s">
        <v>28</v>
      </c>
      <c r="K21" s="5" t="s">
        <v>150</v>
      </c>
      <c r="L21" s="5" t="s">
        <v>28</v>
      </c>
      <c r="M21" s="5" t="s">
        <v>28</v>
      </c>
      <c r="N21" s="5" t="s">
        <v>105</v>
      </c>
      <c r="O21" s="5" t="s">
        <v>116</v>
      </c>
      <c r="P21" s="5" t="s">
        <v>33</v>
      </c>
      <c r="Q21" s="5" t="s">
        <v>28</v>
      </c>
      <c r="R21" s="5" t="s">
        <v>28</v>
      </c>
      <c r="S21" s="5" t="s">
        <v>28</v>
      </c>
      <c r="T21" s="7">
        <v>80000</v>
      </c>
      <c r="U21" s="5" t="s">
        <v>150</v>
      </c>
      <c r="V21" s="5" t="s">
        <v>28</v>
      </c>
    </row>
    <row r="22" spans="1:22" s="4" customFormat="1" x14ac:dyDescent="0.25">
      <c r="A22" s="5">
        <v>21</v>
      </c>
      <c r="B22" s="6" t="s">
        <v>22</v>
      </c>
      <c r="C22" s="5" t="s">
        <v>151</v>
      </c>
      <c r="D22" s="5" t="s">
        <v>152</v>
      </c>
      <c r="E22" s="5" t="s">
        <v>153</v>
      </c>
      <c r="F22" s="5" t="s">
        <v>26</v>
      </c>
      <c r="G22" s="5" t="s">
        <v>154</v>
      </c>
      <c r="H22" s="5" t="s">
        <v>28</v>
      </c>
      <c r="I22" s="5" t="s">
        <v>28</v>
      </c>
      <c r="J22" s="5" t="s">
        <v>28</v>
      </c>
      <c r="K22" s="5" t="s">
        <v>155</v>
      </c>
      <c r="L22" s="5" t="s">
        <v>28</v>
      </c>
      <c r="M22" s="5" t="s">
        <v>28</v>
      </c>
      <c r="N22" s="5" t="s">
        <v>156</v>
      </c>
      <c r="O22" s="5" t="s">
        <v>116</v>
      </c>
      <c r="P22" s="5" t="s">
        <v>33</v>
      </c>
      <c r="Q22" s="5" t="s">
        <v>28</v>
      </c>
      <c r="R22" s="5" t="s">
        <v>28</v>
      </c>
      <c r="S22" s="5" t="s">
        <v>28</v>
      </c>
      <c r="T22" s="7">
        <v>250000</v>
      </c>
      <c r="U22" s="5" t="s">
        <v>155</v>
      </c>
      <c r="V22" s="5" t="s">
        <v>157</v>
      </c>
    </row>
    <row r="23" spans="1:22" s="4" customFormat="1" x14ac:dyDescent="0.25">
      <c r="A23" s="5">
        <v>22</v>
      </c>
      <c r="B23" s="6" t="s">
        <v>22</v>
      </c>
      <c r="C23" s="5" t="s">
        <v>158</v>
      </c>
      <c r="D23" s="5" t="s">
        <v>152</v>
      </c>
      <c r="E23" s="5" t="s">
        <v>153</v>
      </c>
      <c r="F23" s="5" t="s">
        <v>51</v>
      </c>
      <c r="G23" s="5" t="s">
        <v>159</v>
      </c>
      <c r="H23" s="5" t="s">
        <v>28</v>
      </c>
      <c r="I23" s="5" t="s">
        <v>160</v>
      </c>
      <c r="J23" s="5" t="s">
        <v>28</v>
      </c>
      <c r="K23" s="5" t="s">
        <v>161</v>
      </c>
      <c r="L23" s="5" t="s">
        <v>162</v>
      </c>
      <c r="M23" s="5" t="s">
        <v>28</v>
      </c>
      <c r="N23" s="5" t="s">
        <v>163</v>
      </c>
      <c r="O23" s="5" t="s">
        <v>116</v>
      </c>
      <c r="P23" s="5" t="s">
        <v>33</v>
      </c>
      <c r="Q23" s="5" t="s">
        <v>28</v>
      </c>
      <c r="R23" s="5" t="s">
        <v>28</v>
      </c>
      <c r="S23" s="5" t="s">
        <v>28</v>
      </c>
      <c r="T23" s="7">
        <v>250000</v>
      </c>
      <c r="U23" s="5" t="s">
        <v>164</v>
      </c>
      <c r="V23" s="5" t="s">
        <v>165</v>
      </c>
    </row>
    <row r="24" spans="1:22" s="4" customFormat="1" x14ac:dyDescent="0.25">
      <c r="A24" s="5">
        <v>23</v>
      </c>
      <c r="B24" s="6" t="s">
        <v>22</v>
      </c>
      <c r="C24" s="5" t="s">
        <v>166</v>
      </c>
      <c r="D24" s="5" t="s">
        <v>152</v>
      </c>
      <c r="E24" s="5" t="s">
        <v>25</v>
      </c>
      <c r="F24" s="5" t="s">
        <v>51</v>
      </c>
      <c r="G24" s="5" t="s">
        <v>167</v>
      </c>
      <c r="H24" s="5" t="s">
        <v>28</v>
      </c>
      <c r="I24" s="5" t="s">
        <v>168</v>
      </c>
      <c r="J24" s="5" t="s">
        <v>169</v>
      </c>
      <c r="K24" s="5" t="s">
        <v>170</v>
      </c>
      <c r="L24" s="5" t="s">
        <v>171</v>
      </c>
      <c r="M24" s="5" t="s">
        <v>172</v>
      </c>
      <c r="N24" s="5" t="s">
        <v>163</v>
      </c>
      <c r="O24" s="5" t="s">
        <v>116</v>
      </c>
      <c r="P24" s="5" t="s">
        <v>33</v>
      </c>
      <c r="Q24" s="5" t="s">
        <v>28</v>
      </c>
      <c r="R24" s="5" t="s">
        <v>28</v>
      </c>
      <c r="S24" s="5" t="s">
        <v>28</v>
      </c>
      <c r="T24" s="7">
        <v>250000</v>
      </c>
      <c r="U24" s="5" t="s">
        <v>173</v>
      </c>
      <c r="V24" s="5" t="s">
        <v>174</v>
      </c>
    </row>
    <row r="25" spans="1:22" s="4" customFormat="1" x14ac:dyDescent="0.25">
      <c r="A25" s="5">
        <v>24</v>
      </c>
      <c r="B25" s="8" t="s">
        <v>83</v>
      </c>
      <c r="C25" s="5" t="s">
        <v>175</v>
      </c>
      <c r="D25" s="5" t="s">
        <v>152</v>
      </c>
      <c r="E25" s="5" t="s">
        <v>153</v>
      </c>
      <c r="F25" s="5" t="s">
        <v>26</v>
      </c>
      <c r="G25" s="5" t="s">
        <v>176</v>
      </c>
      <c r="H25" s="5" t="s">
        <v>28</v>
      </c>
      <c r="I25" s="5" t="s">
        <v>28</v>
      </c>
      <c r="J25" s="5" t="s">
        <v>28</v>
      </c>
      <c r="K25" s="5" t="s">
        <v>177</v>
      </c>
      <c r="L25" s="5" t="s">
        <v>28</v>
      </c>
      <c r="M25" s="5" t="s">
        <v>28</v>
      </c>
      <c r="N25" s="5" t="s">
        <v>105</v>
      </c>
      <c r="O25" s="5" t="s">
        <v>116</v>
      </c>
      <c r="P25" s="5" t="s">
        <v>33</v>
      </c>
      <c r="Q25" s="5" t="s">
        <v>28</v>
      </c>
      <c r="R25" s="5" t="s">
        <v>28</v>
      </c>
      <c r="S25" s="5" t="s">
        <v>28</v>
      </c>
      <c r="T25" s="7">
        <v>150000</v>
      </c>
      <c r="U25" s="5" t="s">
        <v>177</v>
      </c>
      <c r="V25" s="5" t="s">
        <v>178</v>
      </c>
    </row>
    <row r="26" spans="1:22" s="4" customFormat="1" x14ac:dyDescent="0.25">
      <c r="A26" s="5">
        <v>25</v>
      </c>
      <c r="B26" s="8" t="s">
        <v>83</v>
      </c>
      <c r="C26" s="5" t="s">
        <v>179</v>
      </c>
      <c r="D26" s="5" t="s">
        <v>152</v>
      </c>
      <c r="E26" s="5" t="s">
        <v>153</v>
      </c>
      <c r="F26" s="5" t="s">
        <v>26</v>
      </c>
      <c r="G26" s="5" t="s">
        <v>180</v>
      </c>
      <c r="H26" s="5" t="s">
        <v>28</v>
      </c>
      <c r="I26" s="5" t="s">
        <v>28</v>
      </c>
      <c r="J26" s="5" t="s">
        <v>28</v>
      </c>
      <c r="K26" s="5" t="s">
        <v>181</v>
      </c>
      <c r="L26" s="5" t="s">
        <v>28</v>
      </c>
      <c r="M26" s="5" t="s">
        <v>28</v>
      </c>
      <c r="N26" s="5" t="s">
        <v>105</v>
      </c>
      <c r="O26" s="5" t="s">
        <v>116</v>
      </c>
      <c r="P26" s="5" t="s">
        <v>33</v>
      </c>
      <c r="Q26" s="5" t="s">
        <v>28</v>
      </c>
      <c r="R26" s="5" t="s">
        <v>28</v>
      </c>
      <c r="S26" s="5" t="s">
        <v>28</v>
      </c>
      <c r="T26" s="7">
        <v>150000</v>
      </c>
      <c r="U26" s="5" t="s">
        <v>181</v>
      </c>
      <c r="V26" s="5" t="s">
        <v>28</v>
      </c>
    </row>
    <row r="27" spans="1:22" s="4" customFormat="1" x14ac:dyDescent="0.25">
      <c r="A27" s="5">
        <v>26</v>
      </c>
      <c r="B27" s="8" t="s">
        <v>83</v>
      </c>
      <c r="C27" s="5" t="s">
        <v>182</v>
      </c>
      <c r="D27" s="5" t="s">
        <v>152</v>
      </c>
      <c r="E27" s="5" t="s">
        <v>153</v>
      </c>
      <c r="F27" s="5" t="s">
        <v>26</v>
      </c>
      <c r="G27" s="5" t="s">
        <v>180</v>
      </c>
      <c r="H27" s="5" t="s">
        <v>28</v>
      </c>
      <c r="I27" s="5" t="s">
        <v>28</v>
      </c>
      <c r="J27" s="5" t="s">
        <v>28</v>
      </c>
      <c r="K27" s="5" t="s">
        <v>183</v>
      </c>
      <c r="L27" s="5" t="s">
        <v>28</v>
      </c>
      <c r="M27" s="5" t="s">
        <v>28</v>
      </c>
      <c r="N27" s="5" t="s">
        <v>105</v>
      </c>
      <c r="O27" s="5" t="s">
        <v>116</v>
      </c>
      <c r="P27" s="5" t="s">
        <v>33</v>
      </c>
      <c r="Q27" s="5" t="s">
        <v>28</v>
      </c>
      <c r="R27" s="5" t="s">
        <v>28</v>
      </c>
      <c r="S27" s="5" t="s">
        <v>28</v>
      </c>
      <c r="T27" s="7">
        <v>150000</v>
      </c>
      <c r="U27" s="5" t="s">
        <v>183</v>
      </c>
      <c r="V27" s="5" t="s">
        <v>28</v>
      </c>
    </row>
    <row r="28" spans="1:22" s="4" customFormat="1" x14ac:dyDescent="0.25">
      <c r="A28" s="5">
        <v>27</v>
      </c>
      <c r="B28" s="8" t="s">
        <v>83</v>
      </c>
      <c r="C28" s="5" t="s">
        <v>184</v>
      </c>
      <c r="D28" s="5" t="s">
        <v>152</v>
      </c>
      <c r="E28" s="5" t="s">
        <v>153</v>
      </c>
      <c r="F28" s="5" t="s">
        <v>26</v>
      </c>
      <c r="G28" s="5" t="s">
        <v>185</v>
      </c>
      <c r="H28" s="5" t="s">
        <v>28</v>
      </c>
      <c r="I28" s="5" t="s">
        <v>28</v>
      </c>
      <c r="J28" s="5" t="s">
        <v>28</v>
      </c>
      <c r="K28" s="5" t="s">
        <v>186</v>
      </c>
      <c r="L28" s="5" t="s">
        <v>28</v>
      </c>
      <c r="M28" s="5" t="s">
        <v>28</v>
      </c>
      <c r="N28" s="5" t="s">
        <v>105</v>
      </c>
      <c r="O28" s="5" t="s">
        <v>116</v>
      </c>
      <c r="P28" s="5" t="s">
        <v>33</v>
      </c>
      <c r="Q28" s="5" t="s">
        <v>28</v>
      </c>
      <c r="R28" s="5" t="s">
        <v>28</v>
      </c>
      <c r="S28" s="5" t="s">
        <v>28</v>
      </c>
      <c r="T28" s="7">
        <v>150000</v>
      </c>
      <c r="U28" s="5" t="s">
        <v>186</v>
      </c>
      <c r="V28" s="5" t="s">
        <v>28</v>
      </c>
    </row>
    <row r="29" spans="1:22" s="4" customFormat="1" x14ac:dyDescent="0.25">
      <c r="A29" s="5">
        <v>28</v>
      </c>
      <c r="B29" s="8" t="s">
        <v>83</v>
      </c>
      <c r="C29" s="5" t="s">
        <v>187</v>
      </c>
      <c r="D29" s="5" t="s">
        <v>152</v>
      </c>
      <c r="E29" s="5" t="s">
        <v>153</v>
      </c>
      <c r="F29" s="5" t="s">
        <v>26</v>
      </c>
      <c r="G29" s="5" t="s">
        <v>180</v>
      </c>
      <c r="H29" s="5" t="s">
        <v>28</v>
      </c>
      <c r="I29" s="5" t="s">
        <v>28</v>
      </c>
      <c r="J29" s="5" t="s">
        <v>28</v>
      </c>
      <c r="K29" s="5" t="s">
        <v>188</v>
      </c>
      <c r="L29" s="5" t="s">
        <v>28</v>
      </c>
      <c r="M29" s="5" t="s">
        <v>28</v>
      </c>
      <c r="N29" s="5" t="s">
        <v>105</v>
      </c>
      <c r="O29" s="5" t="s">
        <v>116</v>
      </c>
      <c r="P29" s="5" t="s">
        <v>33</v>
      </c>
      <c r="Q29" s="5" t="s">
        <v>28</v>
      </c>
      <c r="R29" s="5" t="s">
        <v>28</v>
      </c>
      <c r="S29" s="5" t="s">
        <v>28</v>
      </c>
      <c r="T29" s="7">
        <v>120000</v>
      </c>
      <c r="U29" s="5" t="s">
        <v>188</v>
      </c>
      <c r="V29" s="5" t="s">
        <v>28</v>
      </c>
    </row>
    <row r="30" spans="1:22" s="4" customFormat="1" x14ac:dyDescent="0.25">
      <c r="A30" s="5">
        <v>29</v>
      </c>
      <c r="B30" s="8" t="s">
        <v>83</v>
      </c>
      <c r="C30" s="5" t="s">
        <v>189</v>
      </c>
      <c r="D30" s="5" t="s">
        <v>152</v>
      </c>
      <c r="E30" s="5" t="s">
        <v>190</v>
      </c>
      <c r="F30" s="5" t="s">
        <v>51</v>
      </c>
      <c r="G30" s="5" t="s">
        <v>191</v>
      </c>
      <c r="H30" s="5" t="s">
        <v>28</v>
      </c>
      <c r="I30" s="5" t="s">
        <v>28</v>
      </c>
      <c r="J30" s="5" t="s">
        <v>28</v>
      </c>
      <c r="K30" s="5" t="s">
        <v>192</v>
      </c>
      <c r="L30" s="5" t="s">
        <v>28</v>
      </c>
      <c r="M30" s="5" t="s">
        <v>28</v>
      </c>
      <c r="N30" s="5" t="s">
        <v>105</v>
      </c>
      <c r="O30" s="5" t="s">
        <v>116</v>
      </c>
      <c r="P30" s="5" t="s">
        <v>33</v>
      </c>
      <c r="Q30" s="5" t="s">
        <v>28</v>
      </c>
      <c r="R30" s="5" t="s">
        <v>28</v>
      </c>
      <c r="S30" s="5" t="s">
        <v>28</v>
      </c>
      <c r="T30" s="7">
        <v>120000</v>
      </c>
      <c r="U30" s="5" t="s">
        <v>192</v>
      </c>
      <c r="V30" s="5" t="s">
        <v>28</v>
      </c>
    </row>
    <row r="31" spans="1:22" s="4" customFormat="1" x14ac:dyDescent="0.25">
      <c r="A31" s="5">
        <v>30</v>
      </c>
      <c r="B31" s="8" t="s">
        <v>83</v>
      </c>
      <c r="C31" s="5" t="s">
        <v>193</v>
      </c>
      <c r="D31" s="5" t="s">
        <v>152</v>
      </c>
      <c r="E31" s="5" t="s">
        <v>153</v>
      </c>
      <c r="F31" s="5" t="s">
        <v>51</v>
      </c>
      <c r="G31" s="5" t="s">
        <v>194</v>
      </c>
      <c r="H31" s="5" t="s">
        <v>28</v>
      </c>
      <c r="I31" s="5" t="s">
        <v>28</v>
      </c>
      <c r="J31" s="5" t="s">
        <v>28</v>
      </c>
      <c r="K31" s="5" t="s">
        <v>195</v>
      </c>
      <c r="L31" s="5" t="s">
        <v>28</v>
      </c>
      <c r="M31" s="5" t="s">
        <v>28</v>
      </c>
      <c r="N31" s="5" t="s">
        <v>105</v>
      </c>
      <c r="O31" s="5" t="s">
        <v>116</v>
      </c>
      <c r="P31" s="5" t="s">
        <v>33</v>
      </c>
      <c r="Q31" s="5" t="s">
        <v>28</v>
      </c>
      <c r="R31" s="5" t="s">
        <v>28</v>
      </c>
      <c r="S31" s="5" t="s">
        <v>28</v>
      </c>
      <c r="T31" s="7">
        <v>120000</v>
      </c>
      <c r="U31" s="5" t="s">
        <v>195</v>
      </c>
      <c r="V31" s="5" t="s">
        <v>28</v>
      </c>
    </row>
    <row r="32" spans="1:22" s="4" customFormat="1" x14ac:dyDescent="0.25">
      <c r="A32" s="5">
        <v>31</v>
      </c>
      <c r="B32" s="8" t="s">
        <v>83</v>
      </c>
      <c r="C32" s="5" t="s">
        <v>196</v>
      </c>
      <c r="D32" s="5" t="s">
        <v>152</v>
      </c>
      <c r="E32" s="5" t="s">
        <v>153</v>
      </c>
      <c r="F32" s="5" t="s">
        <v>51</v>
      </c>
      <c r="G32" s="5" t="s">
        <v>197</v>
      </c>
      <c r="H32" s="5" t="s">
        <v>28</v>
      </c>
      <c r="I32" s="5" t="s">
        <v>28</v>
      </c>
      <c r="J32" s="5" t="s">
        <v>28</v>
      </c>
      <c r="K32" s="5" t="s">
        <v>198</v>
      </c>
      <c r="L32" s="5" t="s">
        <v>28</v>
      </c>
      <c r="M32" s="5" t="s">
        <v>28</v>
      </c>
      <c r="N32" s="5" t="s">
        <v>105</v>
      </c>
      <c r="O32" s="5" t="s">
        <v>116</v>
      </c>
      <c r="P32" s="5" t="s">
        <v>33</v>
      </c>
      <c r="Q32" s="5" t="s">
        <v>28</v>
      </c>
      <c r="R32" s="5" t="s">
        <v>28</v>
      </c>
      <c r="S32" s="5" t="s">
        <v>28</v>
      </c>
      <c r="T32" s="7">
        <v>120000</v>
      </c>
      <c r="U32" s="5" t="s">
        <v>199</v>
      </c>
      <c r="V32" s="5" t="s">
        <v>28</v>
      </c>
    </row>
    <row r="33" spans="1:22" s="4" customFormat="1" x14ac:dyDescent="0.25">
      <c r="A33" s="5">
        <v>32</v>
      </c>
      <c r="B33" s="6" t="s">
        <v>22</v>
      </c>
      <c r="C33" s="5" t="s">
        <v>200</v>
      </c>
      <c r="D33" s="5" t="s">
        <v>201</v>
      </c>
      <c r="E33" s="5" t="s">
        <v>25</v>
      </c>
      <c r="F33" s="5" t="s">
        <v>26</v>
      </c>
      <c r="G33" s="5" t="s">
        <v>202</v>
      </c>
      <c r="H33" s="5" t="s">
        <v>28</v>
      </c>
      <c r="I33" s="5" t="s">
        <v>28</v>
      </c>
      <c r="J33" s="5" t="s">
        <v>28</v>
      </c>
      <c r="K33" s="5" t="s">
        <v>28</v>
      </c>
      <c r="L33" s="5" t="s">
        <v>203</v>
      </c>
      <c r="M33" s="5" t="s">
        <v>28</v>
      </c>
      <c r="N33" s="5" t="s">
        <v>204</v>
      </c>
      <c r="O33" s="5" t="s">
        <v>205</v>
      </c>
      <c r="P33" s="5" t="s">
        <v>33</v>
      </c>
      <c r="Q33" s="5" t="s">
        <v>28</v>
      </c>
      <c r="R33" s="5" t="s">
        <v>28</v>
      </c>
      <c r="S33" s="5" t="s">
        <v>28</v>
      </c>
      <c r="T33" s="7">
        <v>40000</v>
      </c>
      <c r="U33" s="5" t="s">
        <v>206</v>
      </c>
      <c r="V33" s="5" t="s">
        <v>207</v>
      </c>
    </row>
    <row r="34" spans="1:22" s="4" customFormat="1" x14ac:dyDescent="0.25">
      <c r="A34" s="5">
        <v>33</v>
      </c>
      <c r="B34" s="6" t="s">
        <v>22</v>
      </c>
      <c r="C34" s="5" t="s">
        <v>208</v>
      </c>
      <c r="D34" s="5" t="s">
        <v>201</v>
      </c>
      <c r="E34" s="5" t="s">
        <v>25</v>
      </c>
      <c r="F34" s="5" t="s">
        <v>26</v>
      </c>
      <c r="G34" s="5" t="s">
        <v>209</v>
      </c>
      <c r="H34" s="5" t="s">
        <v>28</v>
      </c>
      <c r="I34" s="5" t="s">
        <v>28</v>
      </c>
      <c r="J34" s="5" t="s">
        <v>28</v>
      </c>
      <c r="K34" s="5" t="s">
        <v>28</v>
      </c>
      <c r="L34" s="5" t="s">
        <v>210</v>
      </c>
      <c r="M34" s="5" t="s">
        <v>28</v>
      </c>
      <c r="N34" s="5" t="s">
        <v>204</v>
      </c>
      <c r="O34" s="5" t="s">
        <v>205</v>
      </c>
      <c r="P34" s="5" t="s">
        <v>33</v>
      </c>
      <c r="Q34" s="5" t="s">
        <v>28</v>
      </c>
      <c r="R34" s="5" t="s">
        <v>28</v>
      </c>
      <c r="S34" s="5" t="s">
        <v>28</v>
      </c>
      <c r="T34" s="7">
        <v>40000</v>
      </c>
      <c r="U34" s="5" t="s">
        <v>211</v>
      </c>
      <c r="V34" s="5" t="s">
        <v>212</v>
      </c>
    </row>
    <row r="35" spans="1:22" s="4" customFormat="1" x14ac:dyDescent="0.25">
      <c r="A35" s="5">
        <v>34</v>
      </c>
      <c r="B35" s="6" t="s">
        <v>22</v>
      </c>
      <c r="C35" s="5" t="s">
        <v>213</v>
      </c>
      <c r="D35" s="5" t="s">
        <v>201</v>
      </c>
      <c r="E35" s="5" t="s">
        <v>25</v>
      </c>
      <c r="F35" s="5" t="s">
        <v>26</v>
      </c>
      <c r="G35" s="5" t="s">
        <v>209</v>
      </c>
      <c r="H35" s="5" t="s">
        <v>28</v>
      </c>
      <c r="I35" s="5" t="s">
        <v>214</v>
      </c>
      <c r="J35" s="5" t="s">
        <v>28</v>
      </c>
      <c r="K35" s="5" t="s">
        <v>28</v>
      </c>
      <c r="L35" s="5" t="s">
        <v>28</v>
      </c>
      <c r="M35" s="5" t="s">
        <v>28</v>
      </c>
      <c r="N35" s="5" t="s">
        <v>215</v>
      </c>
      <c r="O35" s="5" t="s">
        <v>205</v>
      </c>
      <c r="P35" s="5" t="s">
        <v>33</v>
      </c>
      <c r="Q35" s="5" t="s">
        <v>28</v>
      </c>
      <c r="R35" s="5" t="s">
        <v>28</v>
      </c>
      <c r="S35" s="5" t="s">
        <v>28</v>
      </c>
      <c r="T35" s="7">
        <v>40000</v>
      </c>
      <c r="U35" s="5" t="s">
        <v>211</v>
      </c>
      <c r="V35" s="5" t="s">
        <v>216</v>
      </c>
    </row>
    <row r="36" spans="1:22" s="4" customFormat="1" x14ac:dyDescent="0.25">
      <c r="A36" s="5">
        <v>35</v>
      </c>
      <c r="B36" s="6" t="s">
        <v>22</v>
      </c>
      <c r="C36" s="5" t="s">
        <v>217</v>
      </c>
      <c r="D36" s="5" t="s">
        <v>201</v>
      </c>
      <c r="E36" s="5" t="s">
        <v>25</v>
      </c>
      <c r="F36" s="5" t="s">
        <v>26</v>
      </c>
      <c r="G36" s="5" t="s">
        <v>218</v>
      </c>
      <c r="H36" s="5" t="s">
        <v>28</v>
      </c>
      <c r="I36" s="5" t="s">
        <v>28</v>
      </c>
      <c r="J36" s="5" t="s">
        <v>28</v>
      </c>
      <c r="K36" s="5" t="s">
        <v>28</v>
      </c>
      <c r="L36" s="5" t="s">
        <v>219</v>
      </c>
      <c r="M36" s="5" t="s">
        <v>28</v>
      </c>
      <c r="N36" s="5" t="s">
        <v>204</v>
      </c>
      <c r="O36" s="5" t="s">
        <v>205</v>
      </c>
      <c r="P36" s="5" t="s">
        <v>33</v>
      </c>
      <c r="Q36" s="5" t="s">
        <v>28</v>
      </c>
      <c r="R36" s="5" t="s">
        <v>28</v>
      </c>
      <c r="S36" s="5" t="s">
        <v>28</v>
      </c>
      <c r="T36" s="7">
        <v>40000</v>
      </c>
      <c r="U36" s="5" t="s">
        <v>211</v>
      </c>
      <c r="V36" s="5" t="s">
        <v>220</v>
      </c>
    </row>
    <row r="37" spans="1:22" s="4" customFormat="1" x14ac:dyDescent="0.25">
      <c r="A37" s="5">
        <v>36</v>
      </c>
      <c r="B37" s="8" t="s">
        <v>83</v>
      </c>
      <c r="C37" s="5" t="s">
        <v>221</v>
      </c>
      <c r="D37" s="5" t="s">
        <v>201</v>
      </c>
      <c r="E37" s="5" t="s">
        <v>25</v>
      </c>
      <c r="F37" s="5" t="s">
        <v>26</v>
      </c>
      <c r="G37" s="5" t="s">
        <v>222</v>
      </c>
      <c r="H37" s="5" t="s">
        <v>28</v>
      </c>
      <c r="I37" s="5" t="s">
        <v>28</v>
      </c>
      <c r="J37" s="5" t="s">
        <v>28</v>
      </c>
      <c r="K37" s="5" t="s">
        <v>28</v>
      </c>
      <c r="L37" s="5" t="s">
        <v>223</v>
      </c>
      <c r="M37" s="5" t="s">
        <v>28</v>
      </c>
      <c r="N37" s="5" t="s">
        <v>31</v>
      </c>
      <c r="O37" s="5" t="s">
        <v>205</v>
      </c>
      <c r="P37" s="5" t="s">
        <v>33</v>
      </c>
      <c r="Q37" s="5" t="s">
        <v>28</v>
      </c>
      <c r="R37" s="5" t="s">
        <v>28</v>
      </c>
      <c r="S37" s="5" t="s">
        <v>28</v>
      </c>
      <c r="T37" s="7">
        <v>40000</v>
      </c>
      <c r="U37" s="5" t="s">
        <v>211</v>
      </c>
      <c r="V37" s="5" t="s">
        <v>224</v>
      </c>
    </row>
    <row r="38" spans="1:22" s="4" customFormat="1" x14ac:dyDescent="0.25">
      <c r="A38" s="5">
        <v>37</v>
      </c>
      <c r="B38" s="6" t="s">
        <v>22</v>
      </c>
      <c r="C38" s="5" t="s">
        <v>225</v>
      </c>
      <c r="D38" s="5" t="s">
        <v>201</v>
      </c>
      <c r="E38" s="5" t="s">
        <v>226</v>
      </c>
      <c r="F38" s="5" t="s">
        <v>26</v>
      </c>
      <c r="G38" s="5" t="s">
        <v>227</v>
      </c>
      <c r="H38" s="5" t="s">
        <v>28</v>
      </c>
      <c r="I38" s="5" t="s">
        <v>28</v>
      </c>
      <c r="J38" s="5" t="s">
        <v>28</v>
      </c>
      <c r="K38" s="5" t="s">
        <v>228</v>
      </c>
      <c r="L38" s="5" t="s">
        <v>229</v>
      </c>
      <c r="M38" s="5" t="s">
        <v>28</v>
      </c>
      <c r="N38" s="5" t="s">
        <v>204</v>
      </c>
      <c r="O38" s="5" t="s">
        <v>205</v>
      </c>
      <c r="P38" s="5" t="s">
        <v>33</v>
      </c>
      <c r="Q38" s="5" t="s">
        <v>28</v>
      </c>
      <c r="R38" s="5" t="s">
        <v>28</v>
      </c>
      <c r="S38" s="5" t="s">
        <v>28</v>
      </c>
      <c r="T38" s="7">
        <v>60000</v>
      </c>
      <c r="U38" s="5" t="s">
        <v>230</v>
      </c>
      <c r="V38" s="5" t="s">
        <v>231</v>
      </c>
    </row>
    <row r="39" spans="1:22" s="4" customFormat="1" x14ac:dyDescent="0.25">
      <c r="A39" s="5">
        <v>38</v>
      </c>
      <c r="B39" s="6" t="s">
        <v>22</v>
      </c>
      <c r="C39" s="5" t="s">
        <v>232</v>
      </c>
      <c r="D39" s="5" t="s">
        <v>201</v>
      </c>
      <c r="E39" s="5" t="s">
        <v>226</v>
      </c>
      <c r="F39" s="5" t="s">
        <v>26</v>
      </c>
      <c r="G39" s="5" t="s">
        <v>233</v>
      </c>
      <c r="H39" s="5" t="s">
        <v>28</v>
      </c>
      <c r="I39" s="5" t="s">
        <v>234</v>
      </c>
      <c r="J39" s="5" t="s">
        <v>235</v>
      </c>
      <c r="K39" s="5" t="s">
        <v>236</v>
      </c>
      <c r="L39" s="5" t="s">
        <v>237</v>
      </c>
      <c r="M39" s="5" t="s">
        <v>28</v>
      </c>
      <c r="N39" s="5" t="s">
        <v>163</v>
      </c>
      <c r="O39" s="5" t="s">
        <v>205</v>
      </c>
      <c r="P39" s="5" t="s">
        <v>33</v>
      </c>
      <c r="Q39" s="5" t="s">
        <v>28</v>
      </c>
      <c r="R39" s="5" t="s">
        <v>28</v>
      </c>
      <c r="S39" s="5" t="s">
        <v>28</v>
      </c>
      <c r="T39" s="7">
        <v>60000</v>
      </c>
      <c r="U39" s="5" t="s">
        <v>238</v>
      </c>
      <c r="V39" s="5" t="s">
        <v>239</v>
      </c>
    </row>
    <row r="40" spans="1:22" s="4" customFormat="1" x14ac:dyDescent="0.25">
      <c r="A40" s="5">
        <v>39</v>
      </c>
      <c r="B40" s="8" t="s">
        <v>83</v>
      </c>
      <c r="C40" s="5" t="s">
        <v>240</v>
      </c>
      <c r="D40" s="5" t="s">
        <v>201</v>
      </c>
      <c r="E40" s="5" t="s">
        <v>226</v>
      </c>
      <c r="F40" s="5" t="s">
        <v>51</v>
      </c>
      <c r="G40" s="5" t="s">
        <v>241</v>
      </c>
      <c r="H40" s="5" t="s">
        <v>28</v>
      </c>
      <c r="I40" s="5" t="s">
        <v>28</v>
      </c>
      <c r="J40" s="5" t="s">
        <v>28</v>
      </c>
      <c r="K40" s="5" t="s">
        <v>28</v>
      </c>
      <c r="L40" s="5" t="s">
        <v>242</v>
      </c>
      <c r="M40" s="5" t="s">
        <v>28</v>
      </c>
      <c r="N40" s="5" t="s">
        <v>31</v>
      </c>
      <c r="O40" s="5" t="s">
        <v>205</v>
      </c>
      <c r="P40" s="5" t="s">
        <v>33</v>
      </c>
      <c r="Q40" s="5" t="s">
        <v>28</v>
      </c>
      <c r="R40" s="5" t="s">
        <v>28</v>
      </c>
      <c r="S40" s="5" t="s">
        <v>28</v>
      </c>
      <c r="T40" s="7">
        <v>60000</v>
      </c>
      <c r="U40" s="5" t="s">
        <v>243</v>
      </c>
      <c r="V40" s="5" t="s">
        <v>244</v>
      </c>
    </row>
    <row r="41" spans="1:22" s="4" customFormat="1" x14ac:dyDescent="0.25">
      <c r="A41" s="5">
        <v>40</v>
      </c>
      <c r="B41" s="8" t="s">
        <v>83</v>
      </c>
      <c r="C41" s="5" t="s">
        <v>245</v>
      </c>
      <c r="D41" s="5" t="s">
        <v>246</v>
      </c>
      <c r="E41" s="5" t="s">
        <v>64</v>
      </c>
      <c r="F41" s="5" t="s">
        <v>26</v>
      </c>
      <c r="G41" s="5" t="s">
        <v>247</v>
      </c>
      <c r="H41" s="5" t="s">
        <v>28</v>
      </c>
      <c r="I41" s="5" t="s">
        <v>28</v>
      </c>
      <c r="J41" s="5" t="s">
        <v>28</v>
      </c>
      <c r="K41" s="5" t="s">
        <v>248</v>
      </c>
      <c r="L41" s="5" t="s">
        <v>67</v>
      </c>
      <c r="M41" s="5" t="s">
        <v>68</v>
      </c>
      <c r="N41" s="5" t="s">
        <v>249</v>
      </c>
      <c r="O41" s="5" t="s">
        <v>32</v>
      </c>
      <c r="P41" s="5" t="s">
        <v>33</v>
      </c>
      <c r="Q41" s="5" t="s">
        <v>28</v>
      </c>
      <c r="R41" s="5" t="s">
        <v>28</v>
      </c>
      <c r="S41" s="5" t="s">
        <v>28</v>
      </c>
      <c r="T41" s="7">
        <v>100000</v>
      </c>
      <c r="U41" s="5" t="s">
        <v>70</v>
      </c>
      <c r="V41" s="5" t="s">
        <v>250</v>
      </c>
    </row>
    <row r="42" spans="1:22" s="4" customFormat="1" x14ac:dyDescent="0.25">
      <c r="A42" s="5">
        <v>41</v>
      </c>
      <c r="B42" s="8" t="s">
        <v>83</v>
      </c>
      <c r="C42" s="5" t="s">
        <v>251</v>
      </c>
      <c r="D42" s="5" t="s">
        <v>246</v>
      </c>
      <c r="E42" s="5" t="s">
        <v>95</v>
      </c>
      <c r="F42" s="5" t="s">
        <v>26</v>
      </c>
      <c r="G42" s="5" t="s">
        <v>252</v>
      </c>
      <c r="H42" s="5" t="s">
        <v>28</v>
      </c>
      <c r="I42" s="5" t="s">
        <v>28</v>
      </c>
      <c r="J42" s="5" t="s">
        <v>28</v>
      </c>
      <c r="K42" s="5" t="s">
        <v>253</v>
      </c>
      <c r="L42" s="5" t="s">
        <v>28</v>
      </c>
      <c r="M42" s="5" t="s">
        <v>28</v>
      </c>
      <c r="N42" s="5" t="s">
        <v>128</v>
      </c>
      <c r="O42" s="5" t="s">
        <v>32</v>
      </c>
      <c r="P42" s="5" t="s">
        <v>33</v>
      </c>
      <c r="Q42" s="5" t="s">
        <v>28</v>
      </c>
      <c r="R42" s="5" t="s">
        <v>28</v>
      </c>
      <c r="S42" s="5" t="s">
        <v>28</v>
      </c>
      <c r="T42" s="7">
        <v>100000</v>
      </c>
      <c r="U42" s="5" t="s">
        <v>253</v>
      </c>
      <c r="V42" s="5" t="s">
        <v>28</v>
      </c>
    </row>
    <row r="43" spans="1:22" s="4" customFormat="1" x14ac:dyDescent="0.25">
      <c r="A43" s="5">
        <v>42</v>
      </c>
      <c r="B43" s="8" t="s">
        <v>83</v>
      </c>
      <c r="C43" s="5" t="s">
        <v>254</v>
      </c>
      <c r="D43" s="5" t="s">
        <v>246</v>
      </c>
      <c r="E43" s="5" t="s">
        <v>226</v>
      </c>
      <c r="F43" s="5" t="s">
        <v>148</v>
      </c>
      <c r="G43" s="5" t="s">
        <v>255</v>
      </c>
      <c r="H43" s="5" t="s">
        <v>28</v>
      </c>
      <c r="I43" s="5" t="s">
        <v>28</v>
      </c>
      <c r="J43" s="5" t="s">
        <v>28</v>
      </c>
      <c r="K43" s="5" t="s">
        <v>256</v>
      </c>
      <c r="L43" s="5" t="s">
        <v>28</v>
      </c>
      <c r="M43" s="5" t="s">
        <v>28</v>
      </c>
      <c r="N43" s="5" t="s">
        <v>105</v>
      </c>
      <c r="O43" s="5" t="s">
        <v>32</v>
      </c>
      <c r="P43" s="5" t="s">
        <v>33</v>
      </c>
      <c r="Q43" s="5" t="s">
        <v>28</v>
      </c>
      <c r="R43" s="5" t="s">
        <v>28</v>
      </c>
      <c r="S43" s="5" t="s">
        <v>28</v>
      </c>
      <c r="T43" s="7">
        <v>80000</v>
      </c>
      <c r="U43" s="5" t="s">
        <v>256</v>
      </c>
      <c r="V43" s="5" t="s">
        <v>257</v>
      </c>
    </row>
    <row r="44" spans="1:22" s="4" customFormat="1" x14ac:dyDescent="0.25">
      <c r="A44" s="5">
        <v>43</v>
      </c>
      <c r="B44" s="8" t="s">
        <v>83</v>
      </c>
      <c r="C44" s="5" t="s">
        <v>258</v>
      </c>
      <c r="D44" s="5" t="s">
        <v>246</v>
      </c>
      <c r="E44" s="5" t="s">
        <v>25</v>
      </c>
      <c r="F44" s="5" t="s">
        <v>26</v>
      </c>
      <c r="G44" s="5" t="s">
        <v>259</v>
      </c>
      <c r="H44" s="5" t="s">
        <v>260</v>
      </c>
      <c r="I44" s="5" t="s">
        <v>261</v>
      </c>
      <c r="J44" s="5" t="s">
        <v>262</v>
      </c>
      <c r="K44" s="5" t="s">
        <v>263</v>
      </c>
      <c r="L44" s="5" t="s">
        <v>264</v>
      </c>
      <c r="M44" s="5" t="s">
        <v>28</v>
      </c>
      <c r="N44" s="5" t="s">
        <v>265</v>
      </c>
      <c r="O44" s="5" t="s">
        <v>32</v>
      </c>
      <c r="P44" s="5" t="s">
        <v>33</v>
      </c>
      <c r="Q44" s="5" t="s">
        <v>28</v>
      </c>
      <c r="R44" s="5" t="s">
        <v>28</v>
      </c>
      <c r="S44" s="5" t="s">
        <v>28</v>
      </c>
      <c r="T44" s="7">
        <v>100000</v>
      </c>
      <c r="U44" s="5" t="s">
        <v>266</v>
      </c>
      <c r="V44" s="5" t="s">
        <v>267</v>
      </c>
    </row>
    <row r="45" spans="1:22" s="4" customFormat="1" x14ac:dyDescent="0.25">
      <c r="A45" s="5">
        <v>44</v>
      </c>
      <c r="B45" s="8" t="s">
        <v>83</v>
      </c>
      <c r="C45" s="5" t="s">
        <v>268</v>
      </c>
      <c r="D45" s="5" t="s">
        <v>246</v>
      </c>
      <c r="E45" s="5" t="s">
        <v>25</v>
      </c>
      <c r="F45" s="5" t="s">
        <v>51</v>
      </c>
      <c r="G45" s="5" t="s">
        <v>259</v>
      </c>
      <c r="H45" s="5" t="s">
        <v>269</v>
      </c>
      <c r="I45" s="5" t="s">
        <v>270</v>
      </c>
      <c r="J45" s="5" t="s">
        <v>271</v>
      </c>
      <c r="K45" s="5" t="s">
        <v>263</v>
      </c>
      <c r="L45" s="5" t="s">
        <v>272</v>
      </c>
      <c r="M45" s="5" t="s">
        <v>28</v>
      </c>
      <c r="N45" s="5" t="s">
        <v>265</v>
      </c>
      <c r="O45" s="5" t="s">
        <v>32</v>
      </c>
      <c r="P45" s="5" t="s">
        <v>33</v>
      </c>
      <c r="Q45" s="5" t="s">
        <v>28</v>
      </c>
      <c r="R45" s="5" t="s">
        <v>28</v>
      </c>
      <c r="S45" s="5" t="s">
        <v>28</v>
      </c>
      <c r="T45" s="7">
        <v>100000</v>
      </c>
      <c r="U45" s="5" t="s">
        <v>266</v>
      </c>
      <c r="V45" s="5" t="s">
        <v>273</v>
      </c>
    </row>
    <row r="46" spans="1:22" s="4" customFormat="1" x14ac:dyDescent="0.25">
      <c r="A46" s="5">
        <v>45</v>
      </c>
      <c r="B46" s="9" t="s">
        <v>274</v>
      </c>
      <c r="C46" s="5" t="s">
        <v>275</v>
      </c>
      <c r="D46" s="5" t="s">
        <v>246</v>
      </c>
      <c r="E46" s="5" t="s">
        <v>25</v>
      </c>
      <c r="F46" s="5" t="s">
        <v>26</v>
      </c>
      <c r="G46" s="5" t="s">
        <v>252</v>
      </c>
      <c r="H46" s="5" t="s">
        <v>276</v>
      </c>
      <c r="I46" s="5" t="s">
        <v>277</v>
      </c>
      <c r="J46" s="5" t="s">
        <v>278</v>
      </c>
      <c r="K46" s="5" t="s">
        <v>279</v>
      </c>
      <c r="L46" s="5" t="s">
        <v>28</v>
      </c>
      <c r="M46" s="5" t="s">
        <v>28</v>
      </c>
      <c r="N46" s="5" t="s">
        <v>9</v>
      </c>
      <c r="O46" s="5" t="s">
        <v>32</v>
      </c>
      <c r="P46" s="5" t="s">
        <v>33</v>
      </c>
      <c r="Q46" s="5" t="s">
        <v>28</v>
      </c>
      <c r="R46" s="5" t="s">
        <v>28</v>
      </c>
      <c r="S46" s="5" t="s">
        <v>28</v>
      </c>
      <c r="T46" s="7">
        <v>150000</v>
      </c>
      <c r="U46" s="5" t="s">
        <v>280</v>
      </c>
      <c r="V46" s="5" t="s">
        <v>281</v>
      </c>
    </row>
    <row r="47" spans="1:22" s="4" customFormat="1" x14ac:dyDescent="0.25">
      <c r="A47" s="5">
        <v>46</v>
      </c>
      <c r="B47" s="6" t="s">
        <v>22</v>
      </c>
      <c r="C47" s="5" t="s">
        <v>282</v>
      </c>
      <c r="D47" s="5" t="s">
        <v>283</v>
      </c>
      <c r="E47" s="5" t="s">
        <v>95</v>
      </c>
      <c r="F47" s="5" t="s">
        <v>51</v>
      </c>
      <c r="G47" s="5" t="s">
        <v>284</v>
      </c>
      <c r="H47" s="5" t="s">
        <v>28</v>
      </c>
      <c r="I47" s="5" t="s">
        <v>28</v>
      </c>
      <c r="J47" s="5" t="s">
        <v>28</v>
      </c>
      <c r="K47" s="5" t="s">
        <v>285</v>
      </c>
      <c r="L47" s="5" t="s">
        <v>28</v>
      </c>
      <c r="M47" s="5" t="s">
        <v>28</v>
      </c>
      <c r="N47" s="5" t="s">
        <v>286</v>
      </c>
      <c r="O47" s="5" t="s">
        <v>139</v>
      </c>
      <c r="P47" s="5" t="s">
        <v>33</v>
      </c>
      <c r="Q47" s="5" t="s">
        <v>28</v>
      </c>
      <c r="R47" s="5" t="s">
        <v>28</v>
      </c>
      <c r="S47" s="5" t="s">
        <v>28</v>
      </c>
      <c r="T47" s="7">
        <v>80000</v>
      </c>
      <c r="U47" s="5" t="s">
        <v>287</v>
      </c>
      <c r="V47" s="5" t="s">
        <v>288</v>
      </c>
    </row>
    <row r="48" spans="1:22" s="4" customFormat="1" x14ac:dyDescent="0.25">
      <c r="A48" s="5">
        <v>47</v>
      </c>
      <c r="B48" s="6" t="s">
        <v>22</v>
      </c>
      <c r="C48" s="5" t="s">
        <v>289</v>
      </c>
      <c r="D48" s="5" t="s">
        <v>283</v>
      </c>
      <c r="E48" s="5" t="s">
        <v>290</v>
      </c>
      <c r="F48" s="5" t="s">
        <v>51</v>
      </c>
      <c r="G48" s="5" t="s">
        <v>291</v>
      </c>
      <c r="H48" s="5" t="s">
        <v>28</v>
      </c>
      <c r="I48" s="5" t="s">
        <v>28</v>
      </c>
      <c r="J48" s="5" t="s">
        <v>28</v>
      </c>
      <c r="K48" s="5" t="s">
        <v>292</v>
      </c>
      <c r="L48" s="5" t="s">
        <v>28</v>
      </c>
      <c r="M48" s="5" t="s">
        <v>28</v>
      </c>
      <c r="N48" s="5" t="s">
        <v>105</v>
      </c>
      <c r="O48" s="5" t="s">
        <v>139</v>
      </c>
      <c r="P48" s="5" t="s">
        <v>33</v>
      </c>
      <c r="Q48" s="5" t="s">
        <v>28</v>
      </c>
      <c r="R48" s="5" t="s">
        <v>28</v>
      </c>
      <c r="S48" s="5" t="s">
        <v>28</v>
      </c>
      <c r="T48" s="7">
        <v>80000</v>
      </c>
      <c r="U48" s="5" t="s">
        <v>292</v>
      </c>
      <c r="V48" s="5" t="s">
        <v>293</v>
      </c>
    </row>
    <row r="49" spans="1:22" s="4" customFormat="1" x14ac:dyDescent="0.25">
      <c r="A49" s="5">
        <v>48</v>
      </c>
      <c r="B49" s="8" t="s">
        <v>83</v>
      </c>
      <c r="C49" s="5" t="s">
        <v>294</v>
      </c>
      <c r="D49" s="5" t="s">
        <v>283</v>
      </c>
      <c r="E49" s="5" t="s">
        <v>64</v>
      </c>
      <c r="F49" s="5" t="s">
        <v>58</v>
      </c>
      <c r="G49" s="5" t="s">
        <v>295</v>
      </c>
      <c r="H49" s="5" t="s">
        <v>28</v>
      </c>
      <c r="I49" s="5" t="s">
        <v>28</v>
      </c>
      <c r="J49" s="5" t="s">
        <v>28</v>
      </c>
      <c r="K49" s="5" t="s">
        <v>248</v>
      </c>
      <c r="L49" s="5" t="s">
        <v>67</v>
      </c>
      <c r="M49" s="5" t="s">
        <v>68</v>
      </c>
      <c r="N49" s="5" t="s">
        <v>296</v>
      </c>
      <c r="O49" s="5" t="s">
        <v>139</v>
      </c>
      <c r="P49" s="5" t="s">
        <v>33</v>
      </c>
      <c r="Q49" s="5" t="s">
        <v>28</v>
      </c>
      <c r="R49" s="5" t="s">
        <v>28</v>
      </c>
      <c r="S49" s="5" t="s">
        <v>28</v>
      </c>
      <c r="T49" s="7">
        <v>80000</v>
      </c>
      <c r="U49" s="5" t="s">
        <v>297</v>
      </c>
      <c r="V49" s="5" t="s">
        <v>298</v>
      </c>
    </row>
    <row r="50" spans="1:22" s="4" customFormat="1" x14ac:dyDescent="0.25">
      <c r="A50" s="5">
        <v>49</v>
      </c>
      <c r="B50" s="6" t="s">
        <v>22</v>
      </c>
      <c r="C50" s="5" t="s">
        <v>299</v>
      </c>
      <c r="D50" s="5" t="s">
        <v>283</v>
      </c>
      <c r="E50" s="5" t="s">
        <v>153</v>
      </c>
      <c r="F50" s="5" t="s">
        <v>26</v>
      </c>
      <c r="G50" s="5" t="s">
        <v>300</v>
      </c>
      <c r="H50" s="5" t="s">
        <v>28</v>
      </c>
      <c r="I50" s="5" t="s">
        <v>28</v>
      </c>
      <c r="J50" s="5" t="s">
        <v>28</v>
      </c>
      <c r="K50" s="5" t="s">
        <v>301</v>
      </c>
      <c r="L50" s="5" t="s">
        <v>28</v>
      </c>
      <c r="M50" s="5" t="s">
        <v>28</v>
      </c>
      <c r="N50" s="5" t="s">
        <v>302</v>
      </c>
      <c r="O50" s="5" t="s">
        <v>139</v>
      </c>
      <c r="P50" s="5" t="s">
        <v>33</v>
      </c>
      <c r="Q50" s="5" t="s">
        <v>28</v>
      </c>
      <c r="R50" s="5" t="s">
        <v>28</v>
      </c>
      <c r="S50" s="5" t="s">
        <v>28</v>
      </c>
      <c r="T50" s="7">
        <v>50000</v>
      </c>
      <c r="U50" s="5" t="s">
        <v>303</v>
      </c>
      <c r="V50" s="5" t="s">
        <v>304</v>
      </c>
    </row>
    <row r="51" spans="1:22" s="4" customFormat="1" x14ac:dyDescent="0.25">
      <c r="A51" s="5">
        <v>50</v>
      </c>
      <c r="B51" s="6" t="s">
        <v>22</v>
      </c>
      <c r="C51" s="5" t="s">
        <v>305</v>
      </c>
      <c r="D51" s="5" t="s">
        <v>283</v>
      </c>
      <c r="E51" s="5" t="s">
        <v>153</v>
      </c>
      <c r="F51" s="5" t="s">
        <v>26</v>
      </c>
      <c r="G51" s="5" t="s">
        <v>306</v>
      </c>
      <c r="H51" s="5" t="s">
        <v>28</v>
      </c>
      <c r="I51" s="5" t="s">
        <v>28</v>
      </c>
      <c r="J51" s="5" t="s">
        <v>28</v>
      </c>
      <c r="K51" s="5" t="s">
        <v>307</v>
      </c>
      <c r="L51" s="5" t="s">
        <v>28</v>
      </c>
      <c r="M51" s="5" t="s">
        <v>28</v>
      </c>
      <c r="N51" s="5" t="s">
        <v>308</v>
      </c>
      <c r="O51" s="5" t="s">
        <v>139</v>
      </c>
      <c r="P51" s="5" t="s">
        <v>33</v>
      </c>
      <c r="Q51" s="5" t="s">
        <v>28</v>
      </c>
      <c r="R51" s="5" t="s">
        <v>28</v>
      </c>
      <c r="S51" s="5" t="s">
        <v>28</v>
      </c>
      <c r="T51" s="7">
        <v>50000</v>
      </c>
      <c r="U51" s="5" t="s">
        <v>303</v>
      </c>
      <c r="V51" s="5" t="s">
        <v>309</v>
      </c>
    </row>
    <row r="52" spans="1:22" s="4" customFormat="1" x14ac:dyDescent="0.25">
      <c r="A52" s="5">
        <v>51</v>
      </c>
      <c r="B52" s="6" t="s">
        <v>22</v>
      </c>
      <c r="C52" s="5" t="s">
        <v>310</v>
      </c>
      <c r="D52" s="5" t="s">
        <v>283</v>
      </c>
      <c r="E52" s="5" t="s">
        <v>311</v>
      </c>
      <c r="F52" s="5" t="s">
        <v>26</v>
      </c>
      <c r="G52" s="5" t="s">
        <v>312</v>
      </c>
      <c r="H52" s="5" t="s">
        <v>28</v>
      </c>
      <c r="I52" s="5" t="s">
        <v>28</v>
      </c>
      <c r="J52" s="5" t="s">
        <v>28</v>
      </c>
      <c r="K52" s="5" t="s">
        <v>313</v>
      </c>
      <c r="L52" s="5" t="s">
        <v>28</v>
      </c>
      <c r="M52" s="5" t="s">
        <v>28</v>
      </c>
      <c r="N52" s="5" t="s">
        <v>314</v>
      </c>
      <c r="O52" s="5" t="s">
        <v>139</v>
      </c>
      <c r="P52" s="5" t="s">
        <v>33</v>
      </c>
      <c r="Q52" s="5" t="s">
        <v>28</v>
      </c>
      <c r="R52" s="5" t="s">
        <v>28</v>
      </c>
      <c r="S52" s="5" t="s">
        <v>28</v>
      </c>
      <c r="T52" s="7">
        <v>50000</v>
      </c>
      <c r="U52" s="5" t="s">
        <v>303</v>
      </c>
      <c r="V52" s="5" t="s">
        <v>315</v>
      </c>
    </row>
    <row r="53" spans="1:22" s="4" customFormat="1" x14ac:dyDescent="0.25">
      <c r="A53" s="5">
        <v>52</v>
      </c>
      <c r="B53" s="8" t="s">
        <v>83</v>
      </c>
      <c r="C53" s="5" t="s">
        <v>316</v>
      </c>
      <c r="D53" s="5" t="s">
        <v>283</v>
      </c>
      <c r="E53" s="5" t="s">
        <v>153</v>
      </c>
      <c r="F53" s="5" t="s">
        <v>26</v>
      </c>
      <c r="G53" s="5" t="s">
        <v>28</v>
      </c>
      <c r="H53" s="5" t="s">
        <v>28</v>
      </c>
      <c r="I53" s="5" t="s">
        <v>28</v>
      </c>
      <c r="J53" s="5" t="s">
        <v>28</v>
      </c>
      <c r="K53" s="5" t="s">
        <v>317</v>
      </c>
      <c r="L53" s="5" t="s">
        <v>28</v>
      </c>
      <c r="M53" s="5" t="s">
        <v>28</v>
      </c>
      <c r="N53" s="5" t="s">
        <v>308</v>
      </c>
      <c r="O53" s="5" t="s">
        <v>139</v>
      </c>
      <c r="P53" s="5" t="s">
        <v>33</v>
      </c>
      <c r="Q53" s="5" t="s">
        <v>28</v>
      </c>
      <c r="R53" s="5" t="s">
        <v>28</v>
      </c>
      <c r="S53" s="5" t="s">
        <v>28</v>
      </c>
      <c r="T53" s="7">
        <v>50000</v>
      </c>
      <c r="U53" s="5" t="s">
        <v>303</v>
      </c>
      <c r="V53" s="5" t="s">
        <v>28</v>
      </c>
    </row>
    <row r="54" spans="1:22" s="4" customFormat="1" x14ac:dyDescent="0.25">
      <c r="A54" s="5">
        <v>53</v>
      </c>
      <c r="B54" s="8" t="s">
        <v>83</v>
      </c>
      <c r="C54" s="5" t="s">
        <v>318</v>
      </c>
      <c r="D54" s="5" t="s">
        <v>283</v>
      </c>
      <c r="E54" s="5" t="s">
        <v>153</v>
      </c>
      <c r="F54" s="5" t="s">
        <v>26</v>
      </c>
      <c r="G54" s="5" t="s">
        <v>28</v>
      </c>
      <c r="H54" s="5" t="s">
        <v>28</v>
      </c>
      <c r="I54" s="5" t="s">
        <v>28</v>
      </c>
      <c r="J54" s="5" t="s">
        <v>28</v>
      </c>
      <c r="K54" s="5" t="s">
        <v>319</v>
      </c>
      <c r="L54" s="5" t="s">
        <v>28</v>
      </c>
      <c r="M54" s="5" t="s">
        <v>28</v>
      </c>
      <c r="N54" s="5" t="s">
        <v>308</v>
      </c>
      <c r="O54" s="5" t="s">
        <v>139</v>
      </c>
      <c r="P54" s="5" t="s">
        <v>33</v>
      </c>
      <c r="Q54" s="5" t="s">
        <v>28</v>
      </c>
      <c r="R54" s="5" t="s">
        <v>28</v>
      </c>
      <c r="S54" s="5" t="s">
        <v>28</v>
      </c>
      <c r="T54" s="7">
        <v>50000</v>
      </c>
      <c r="U54" s="5" t="s">
        <v>303</v>
      </c>
      <c r="V54" s="5" t="s">
        <v>28</v>
      </c>
    </row>
    <row r="55" spans="1:22" s="4" customFormat="1" x14ac:dyDescent="0.25">
      <c r="A55" s="5">
        <v>54</v>
      </c>
      <c r="B55" s="8" t="s">
        <v>83</v>
      </c>
      <c r="C55" s="5" t="s">
        <v>320</v>
      </c>
      <c r="D55" s="5" t="s">
        <v>283</v>
      </c>
      <c r="E55" s="5" t="s">
        <v>153</v>
      </c>
      <c r="F55" s="5" t="s">
        <v>26</v>
      </c>
      <c r="G55" s="5" t="s">
        <v>28</v>
      </c>
      <c r="H55" s="5" t="s">
        <v>28</v>
      </c>
      <c r="I55" s="5" t="s">
        <v>28</v>
      </c>
      <c r="J55" s="5" t="s">
        <v>28</v>
      </c>
      <c r="K55" s="5" t="s">
        <v>321</v>
      </c>
      <c r="L55" s="5" t="s">
        <v>28</v>
      </c>
      <c r="M55" s="5" t="s">
        <v>28</v>
      </c>
      <c r="N55" s="5" t="s">
        <v>308</v>
      </c>
      <c r="O55" s="5" t="s">
        <v>139</v>
      </c>
      <c r="P55" s="5" t="s">
        <v>33</v>
      </c>
      <c r="Q55" s="5" t="s">
        <v>28</v>
      </c>
      <c r="R55" s="5" t="s">
        <v>28</v>
      </c>
      <c r="S55" s="5" t="s">
        <v>28</v>
      </c>
      <c r="T55" s="7">
        <v>50000</v>
      </c>
      <c r="U55" s="5" t="s">
        <v>303</v>
      </c>
      <c r="V55" s="5" t="s">
        <v>28</v>
      </c>
    </row>
    <row r="56" spans="1:22" s="4" customFormat="1" x14ac:dyDescent="0.25">
      <c r="A56" s="5">
        <v>55</v>
      </c>
      <c r="B56" s="8" t="s">
        <v>83</v>
      </c>
      <c r="C56" s="5" t="s">
        <v>322</v>
      </c>
      <c r="D56" s="5" t="s">
        <v>283</v>
      </c>
      <c r="E56" s="5" t="s">
        <v>153</v>
      </c>
      <c r="F56" s="5" t="s">
        <v>51</v>
      </c>
      <c r="G56" s="5" t="s">
        <v>323</v>
      </c>
      <c r="H56" s="5" t="s">
        <v>28</v>
      </c>
      <c r="I56" s="5" t="s">
        <v>28</v>
      </c>
      <c r="J56" s="5" t="s">
        <v>28</v>
      </c>
      <c r="K56" s="5" t="s">
        <v>324</v>
      </c>
      <c r="L56" s="5" t="s">
        <v>28</v>
      </c>
      <c r="M56" s="5" t="s">
        <v>28</v>
      </c>
      <c r="N56" s="5" t="s">
        <v>308</v>
      </c>
      <c r="O56" s="5" t="s">
        <v>139</v>
      </c>
      <c r="P56" s="5" t="s">
        <v>33</v>
      </c>
      <c r="Q56" s="5" t="s">
        <v>28</v>
      </c>
      <c r="R56" s="5" t="s">
        <v>28</v>
      </c>
      <c r="S56" s="5" t="s">
        <v>28</v>
      </c>
      <c r="T56" s="7">
        <v>50000</v>
      </c>
      <c r="U56" s="5" t="s">
        <v>303</v>
      </c>
      <c r="V56" s="5" t="s">
        <v>325</v>
      </c>
    </row>
    <row r="57" spans="1:22" s="4" customFormat="1" x14ac:dyDescent="0.25">
      <c r="A57" s="5">
        <v>56</v>
      </c>
      <c r="B57" s="8" t="s">
        <v>83</v>
      </c>
      <c r="C57" s="5" t="s">
        <v>326</v>
      </c>
      <c r="D57" s="5" t="s">
        <v>283</v>
      </c>
      <c r="E57" s="5" t="s">
        <v>153</v>
      </c>
      <c r="F57" s="5" t="s">
        <v>51</v>
      </c>
      <c r="G57" s="5" t="s">
        <v>28</v>
      </c>
      <c r="H57" s="5" t="s">
        <v>28</v>
      </c>
      <c r="I57" s="5" t="s">
        <v>28</v>
      </c>
      <c r="J57" s="5" t="s">
        <v>28</v>
      </c>
      <c r="K57" s="5" t="s">
        <v>327</v>
      </c>
      <c r="L57" s="5" t="s">
        <v>28</v>
      </c>
      <c r="M57" s="5" t="s">
        <v>28</v>
      </c>
      <c r="N57" s="5" t="s">
        <v>314</v>
      </c>
      <c r="O57" s="5" t="s">
        <v>139</v>
      </c>
      <c r="P57" s="5" t="s">
        <v>33</v>
      </c>
      <c r="Q57" s="5" t="s">
        <v>28</v>
      </c>
      <c r="R57" s="5" t="s">
        <v>28</v>
      </c>
      <c r="S57" s="5" t="s">
        <v>28</v>
      </c>
      <c r="T57" s="7">
        <v>50000</v>
      </c>
      <c r="U57" s="5" t="s">
        <v>303</v>
      </c>
      <c r="V57" s="5" t="s">
        <v>328</v>
      </c>
    </row>
    <row r="58" spans="1:22" s="4" customFormat="1" x14ac:dyDescent="0.25">
      <c r="A58" s="5">
        <v>57</v>
      </c>
      <c r="B58" s="8" t="s">
        <v>83</v>
      </c>
      <c r="C58" s="5" t="s">
        <v>329</v>
      </c>
      <c r="D58" s="5" t="s">
        <v>283</v>
      </c>
      <c r="E58" s="5" t="s">
        <v>121</v>
      </c>
      <c r="F58" s="5" t="s">
        <v>51</v>
      </c>
      <c r="G58" s="5" t="s">
        <v>28</v>
      </c>
      <c r="H58" s="5" t="s">
        <v>28</v>
      </c>
      <c r="I58" s="5" t="s">
        <v>28</v>
      </c>
      <c r="J58" s="5" t="s">
        <v>28</v>
      </c>
      <c r="K58" s="5" t="s">
        <v>330</v>
      </c>
      <c r="L58" s="5" t="s">
        <v>28</v>
      </c>
      <c r="M58" s="5" t="s">
        <v>28</v>
      </c>
      <c r="N58" s="5" t="s">
        <v>314</v>
      </c>
      <c r="O58" s="5" t="s">
        <v>139</v>
      </c>
      <c r="P58" s="5" t="s">
        <v>33</v>
      </c>
      <c r="Q58" s="5" t="s">
        <v>28</v>
      </c>
      <c r="R58" s="5" t="s">
        <v>28</v>
      </c>
      <c r="S58" s="5" t="s">
        <v>28</v>
      </c>
      <c r="T58" s="7">
        <v>50000</v>
      </c>
      <c r="U58" s="5" t="s">
        <v>303</v>
      </c>
      <c r="V58" s="5" t="s">
        <v>328</v>
      </c>
    </row>
    <row r="59" spans="1:22" s="4" customFormat="1" x14ac:dyDescent="0.25">
      <c r="A59" s="5">
        <v>58</v>
      </c>
      <c r="B59" s="8" t="s">
        <v>83</v>
      </c>
      <c r="C59" s="5" t="s">
        <v>331</v>
      </c>
      <c r="D59" s="5" t="s">
        <v>283</v>
      </c>
      <c r="E59" s="5" t="s">
        <v>153</v>
      </c>
      <c r="F59" s="5" t="s">
        <v>51</v>
      </c>
      <c r="G59" s="5" t="s">
        <v>28</v>
      </c>
      <c r="H59" s="5" t="s">
        <v>28</v>
      </c>
      <c r="I59" s="5" t="s">
        <v>28</v>
      </c>
      <c r="J59" s="5" t="s">
        <v>28</v>
      </c>
      <c r="K59" s="5" t="s">
        <v>332</v>
      </c>
      <c r="L59" s="5" t="s">
        <v>28</v>
      </c>
      <c r="M59" s="5" t="s">
        <v>28</v>
      </c>
      <c r="N59" s="5" t="s">
        <v>308</v>
      </c>
      <c r="O59" s="5" t="s">
        <v>139</v>
      </c>
      <c r="P59" s="5" t="s">
        <v>33</v>
      </c>
      <c r="Q59" s="5" t="s">
        <v>28</v>
      </c>
      <c r="R59" s="5" t="s">
        <v>28</v>
      </c>
      <c r="S59" s="5" t="s">
        <v>28</v>
      </c>
      <c r="T59" s="7">
        <v>50000</v>
      </c>
      <c r="U59" s="5" t="s">
        <v>303</v>
      </c>
      <c r="V59" s="5" t="s">
        <v>328</v>
      </c>
    </row>
    <row r="60" spans="1:22" s="4" customFormat="1" x14ac:dyDescent="0.25">
      <c r="A60" s="5">
        <v>59</v>
      </c>
      <c r="B60" s="8" t="s">
        <v>83</v>
      </c>
      <c r="C60" s="5" t="s">
        <v>333</v>
      </c>
      <c r="D60" s="5" t="s">
        <v>283</v>
      </c>
      <c r="E60" s="5" t="s">
        <v>153</v>
      </c>
      <c r="F60" s="5" t="s">
        <v>51</v>
      </c>
      <c r="G60" s="5" t="s">
        <v>334</v>
      </c>
      <c r="H60" s="5" t="s">
        <v>28</v>
      </c>
      <c r="I60" s="5" t="s">
        <v>28</v>
      </c>
      <c r="J60" s="5" t="s">
        <v>28</v>
      </c>
      <c r="K60" s="5" t="s">
        <v>28</v>
      </c>
      <c r="L60" s="5" t="s">
        <v>28</v>
      </c>
      <c r="M60" s="5" t="s">
        <v>28</v>
      </c>
      <c r="N60" s="5" t="s">
        <v>308</v>
      </c>
      <c r="O60" s="5" t="s">
        <v>139</v>
      </c>
      <c r="P60" s="5" t="s">
        <v>33</v>
      </c>
      <c r="Q60" s="5" t="s">
        <v>28</v>
      </c>
      <c r="R60" s="5" t="s">
        <v>28</v>
      </c>
      <c r="S60" s="5" t="s">
        <v>28</v>
      </c>
      <c r="T60" s="7">
        <v>50000</v>
      </c>
      <c r="U60" s="5" t="s">
        <v>303</v>
      </c>
      <c r="V60" s="5" t="s">
        <v>335</v>
      </c>
    </row>
    <row r="61" spans="1:22" s="4" customFormat="1" x14ac:dyDescent="0.25">
      <c r="A61" s="5">
        <v>60</v>
      </c>
      <c r="B61" s="6" t="s">
        <v>22</v>
      </c>
      <c r="C61" s="5" t="s">
        <v>336</v>
      </c>
      <c r="D61" s="5" t="s">
        <v>337</v>
      </c>
      <c r="E61" s="5" t="s">
        <v>25</v>
      </c>
      <c r="F61" s="5" t="s">
        <v>26</v>
      </c>
      <c r="G61" s="5" t="s">
        <v>338</v>
      </c>
      <c r="H61" s="5" t="s">
        <v>28</v>
      </c>
      <c r="I61" s="5" t="s">
        <v>28</v>
      </c>
      <c r="J61" s="5" t="s">
        <v>28</v>
      </c>
      <c r="K61" s="5" t="s">
        <v>339</v>
      </c>
      <c r="L61" s="5" t="s">
        <v>28</v>
      </c>
      <c r="M61" s="5" t="s">
        <v>28</v>
      </c>
      <c r="N61" s="5" t="s">
        <v>340</v>
      </c>
      <c r="O61" s="5" t="s">
        <v>341</v>
      </c>
      <c r="P61" s="5" t="s">
        <v>33</v>
      </c>
      <c r="Q61" s="5" t="s">
        <v>28</v>
      </c>
      <c r="R61" s="5" t="s">
        <v>28</v>
      </c>
      <c r="S61" s="5" t="s">
        <v>28</v>
      </c>
      <c r="T61" s="7">
        <v>40000</v>
      </c>
      <c r="U61" s="5" t="s">
        <v>339</v>
      </c>
      <c r="V61" s="5" t="s">
        <v>342</v>
      </c>
    </row>
    <row r="62" spans="1:22" s="4" customFormat="1" x14ac:dyDescent="0.25">
      <c r="A62" s="5">
        <v>61</v>
      </c>
      <c r="B62" s="8" t="s">
        <v>83</v>
      </c>
      <c r="C62" s="5" t="s">
        <v>343</v>
      </c>
      <c r="D62" s="5" t="s">
        <v>337</v>
      </c>
      <c r="E62" s="5" t="s">
        <v>25</v>
      </c>
      <c r="F62" s="5" t="s">
        <v>51</v>
      </c>
      <c r="G62" s="5" t="s">
        <v>344</v>
      </c>
      <c r="H62" s="5" t="s">
        <v>28</v>
      </c>
      <c r="I62" s="5" t="s">
        <v>28</v>
      </c>
      <c r="J62" s="5" t="s">
        <v>28</v>
      </c>
      <c r="K62" s="5" t="s">
        <v>345</v>
      </c>
      <c r="L62" s="5" t="s">
        <v>28</v>
      </c>
      <c r="M62" s="5" t="s">
        <v>28</v>
      </c>
      <c r="N62" s="5" t="s">
        <v>9</v>
      </c>
      <c r="O62" s="5" t="s">
        <v>341</v>
      </c>
      <c r="P62" s="5" t="s">
        <v>33</v>
      </c>
      <c r="Q62" s="5" t="s">
        <v>28</v>
      </c>
      <c r="R62" s="5" t="s">
        <v>28</v>
      </c>
      <c r="S62" s="5" t="s">
        <v>28</v>
      </c>
      <c r="T62" s="7">
        <v>80000</v>
      </c>
      <c r="U62" s="5" t="s">
        <v>345</v>
      </c>
      <c r="V62" s="5" t="s">
        <v>346</v>
      </c>
    </row>
    <row r="63" spans="1:22" s="4" customFormat="1" x14ac:dyDescent="0.25">
      <c r="A63" s="5">
        <v>62</v>
      </c>
      <c r="B63" s="8" t="s">
        <v>83</v>
      </c>
      <c r="C63" s="5" t="s">
        <v>347</v>
      </c>
      <c r="D63" s="5" t="s">
        <v>337</v>
      </c>
      <c r="E63" s="5" t="s">
        <v>25</v>
      </c>
      <c r="F63" s="5" t="s">
        <v>148</v>
      </c>
      <c r="G63" s="5" t="s">
        <v>348</v>
      </c>
      <c r="H63" s="5" t="s">
        <v>28</v>
      </c>
      <c r="I63" s="5" t="s">
        <v>28</v>
      </c>
      <c r="J63" s="5" t="s">
        <v>28</v>
      </c>
      <c r="K63" s="5" t="s">
        <v>349</v>
      </c>
      <c r="L63" s="5" t="s">
        <v>28</v>
      </c>
      <c r="M63" s="5" t="s">
        <v>28</v>
      </c>
      <c r="N63" s="5" t="s">
        <v>105</v>
      </c>
      <c r="O63" s="5" t="s">
        <v>341</v>
      </c>
      <c r="P63" s="5" t="s">
        <v>33</v>
      </c>
      <c r="Q63" s="5" t="s">
        <v>28</v>
      </c>
      <c r="R63" s="5" t="s">
        <v>28</v>
      </c>
      <c r="S63" s="5" t="s">
        <v>28</v>
      </c>
      <c r="T63" s="7">
        <v>40000</v>
      </c>
      <c r="U63" s="5" t="s">
        <v>349</v>
      </c>
      <c r="V63" s="5" t="s">
        <v>28</v>
      </c>
    </row>
    <row r="64" spans="1:22" s="4" customFormat="1" x14ac:dyDescent="0.25">
      <c r="A64" s="5">
        <v>63</v>
      </c>
      <c r="B64" s="8" t="s">
        <v>83</v>
      </c>
      <c r="C64" s="5" t="s">
        <v>350</v>
      </c>
      <c r="D64" s="5" t="s">
        <v>337</v>
      </c>
      <c r="E64" s="5" t="s">
        <v>25</v>
      </c>
      <c r="F64" s="5" t="s">
        <v>26</v>
      </c>
      <c r="G64" s="5" t="s">
        <v>28</v>
      </c>
      <c r="H64" s="5" t="s">
        <v>28</v>
      </c>
      <c r="I64" s="5" t="s">
        <v>351</v>
      </c>
      <c r="J64" s="5" t="s">
        <v>28</v>
      </c>
      <c r="K64" s="5" t="s">
        <v>28</v>
      </c>
      <c r="L64" s="5" t="s">
        <v>28</v>
      </c>
      <c r="M64" s="5" t="s">
        <v>28</v>
      </c>
      <c r="N64" s="5" t="s">
        <v>340</v>
      </c>
      <c r="O64" s="5" t="s">
        <v>341</v>
      </c>
      <c r="P64" s="5" t="s">
        <v>33</v>
      </c>
      <c r="Q64" s="5" t="s">
        <v>28</v>
      </c>
      <c r="R64" s="5" t="s">
        <v>28</v>
      </c>
      <c r="S64" s="5" t="s">
        <v>28</v>
      </c>
      <c r="T64" s="7">
        <v>40000</v>
      </c>
      <c r="U64" s="5" t="s">
        <v>352</v>
      </c>
      <c r="V64" s="5" t="s">
        <v>28</v>
      </c>
    </row>
    <row r="65" spans="1:22" s="4" customFormat="1" x14ac:dyDescent="0.25">
      <c r="A65" s="5">
        <v>64</v>
      </c>
      <c r="B65" s="8" t="s">
        <v>83</v>
      </c>
      <c r="C65" s="5" t="s">
        <v>353</v>
      </c>
      <c r="D65" s="5" t="s">
        <v>337</v>
      </c>
      <c r="E65" s="5" t="s">
        <v>153</v>
      </c>
      <c r="F65" s="5" t="s">
        <v>26</v>
      </c>
      <c r="G65" s="5" t="s">
        <v>28</v>
      </c>
      <c r="H65" s="5" t="s">
        <v>28</v>
      </c>
      <c r="I65" s="5" t="s">
        <v>354</v>
      </c>
      <c r="J65" s="5" t="s">
        <v>28</v>
      </c>
      <c r="K65" s="5" t="s">
        <v>28</v>
      </c>
      <c r="L65" s="5" t="s">
        <v>28</v>
      </c>
      <c r="M65" s="5" t="s">
        <v>28</v>
      </c>
      <c r="N65" s="5" t="s">
        <v>340</v>
      </c>
      <c r="O65" s="5" t="s">
        <v>341</v>
      </c>
      <c r="P65" s="5" t="s">
        <v>33</v>
      </c>
      <c r="Q65" s="5" t="s">
        <v>28</v>
      </c>
      <c r="R65" s="5" t="s">
        <v>28</v>
      </c>
      <c r="S65" s="5" t="s">
        <v>28</v>
      </c>
      <c r="T65" s="7">
        <v>40000</v>
      </c>
      <c r="U65" s="5" t="s">
        <v>352</v>
      </c>
      <c r="V65" s="5" t="s">
        <v>355</v>
      </c>
    </row>
    <row r="66" spans="1:22" s="4" customFormat="1" x14ac:dyDescent="0.25">
      <c r="A66" s="5">
        <v>65</v>
      </c>
      <c r="B66" s="8" t="s">
        <v>83</v>
      </c>
      <c r="C66" s="5" t="s">
        <v>356</v>
      </c>
      <c r="D66" s="5" t="s">
        <v>337</v>
      </c>
      <c r="E66" s="5" t="s">
        <v>25</v>
      </c>
      <c r="F66" s="5" t="s">
        <v>26</v>
      </c>
      <c r="G66" s="5" t="s">
        <v>357</v>
      </c>
      <c r="H66" s="5" t="s">
        <v>28</v>
      </c>
      <c r="I66" s="5" t="s">
        <v>28</v>
      </c>
      <c r="J66" s="5" t="s">
        <v>28</v>
      </c>
      <c r="K66" s="5" t="s">
        <v>358</v>
      </c>
      <c r="L66" s="5" t="s">
        <v>28</v>
      </c>
      <c r="M66" s="5" t="s">
        <v>28</v>
      </c>
      <c r="N66" s="5" t="s">
        <v>359</v>
      </c>
      <c r="O66" s="5" t="s">
        <v>341</v>
      </c>
      <c r="P66" s="5" t="s">
        <v>33</v>
      </c>
      <c r="Q66" s="5" t="s">
        <v>28</v>
      </c>
      <c r="R66" s="5" t="s">
        <v>28</v>
      </c>
      <c r="S66" s="5" t="s">
        <v>28</v>
      </c>
      <c r="T66" s="7">
        <v>40000</v>
      </c>
      <c r="U66" s="5" t="s">
        <v>358</v>
      </c>
      <c r="V66" s="5" t="s">
        <v>28</v>
      </c>
    </row>
    <row r="67" spans="1:22" s="4" customFormat="1" x14ac:dyDescent="0.25">
      <c r="A67" s="5">
        <v>66</v>
      </c>
      <c r="B67" s="8" t="s">
        <v>83</v>
      </c>
      <c r="C67" s="5" t="s">
        <v>360</v>
      </c>
      <c r="D67" s="5" t="s">
        <v>337</v>
      </c>
      <c r="E67" s="5" t="s">
        <v>45</v>
      </c>
      <c r="F67" s="5" t="s">
        <v>26</v>
      </c>
      <c r="G67" s="5" t="s">
        <v>28</v>
      </c>
      <c r="H67" s="5" t="s">
        <v>28</v>
      </c>
      <c r="I67" s="5" t="s">
        <v>361</v>
      </c>
      <c r="J67" s="5" t="s">
        <v>28</v>
      </c>
      <c r="K67" s="5" t="s">
        <v>28</v>
      </c>
      <c r="L67" s="5" t="s">
        <v>28</v>
      </c>
      <c r="M67" s="5" t="s">
        <v>28</v>
      </c>
      <c r="N67" s="5" t="s">
        <v>340</v>
      </c>
      <c r="O67" s="5" t="s">
        <v>341</v>
      </c>
      <c r="P67" s="5" t="s">
        <v>33</v>
      </c>
      <c r="Q67" s="5" t="s">
        <v>28</v>
      </c>
      <c r="R67" s="5" t="s">
        <v>28</v>
      </c>
      <c r="S67" s="5" t="s">
        <v>28</v>
      </c>
      <c r="T67" s="7">
        <v>40000</v>
      </c>
      <c r="U67" s="5" t="s">
        <v>352</v>
      </c>
      <c r="V67" s="5" t="s">
        <v>362</v>
      </c>
    </row>
    <row r="68" spans="1:22" s="4" customFormat="1" x14ac:dyDescent="0.25">
      <c r="A68" s="5">
        <v>67</v>
      </c>
      <c r="B68" s="9" t="s">
        <v>274</v>
      </c>
      <c r="C68" s="5" t="s">
        <v>363</v>
      </c>
      <c r="D68" s="5" t="s">
        <v>337</v>
      </c>
      <c r="E68" s="5" t="s">
        <v>45</v>
      </c>
      <c r="F68" s="5" t="s">
        <v>26</v>
      </c>
      <c r="G68" s="5" t="s">
        <v>28</v>
      </c>
      <c r="H68" s="5" t="s">
        <v>28</v>
      </c>
      <c r="I68" s="5" t="s">
        <v>364</v>
      </c>
      <c r="J68" s="5" t="s">
        <v>28</v>
      </c>
      <c r="K68" s="5" t="s">
        <v>28</v>
      </c>
      <c r="L68" s="5" t="s">
        <v>28</v>
      </c>
      <c r="M68" s="5" t="s">
        <v>28</v>
      </c>
      <c r="N68" s="5" t="s">
        <v>340</v>
      </c>
      <c r="O68" s="5" t="s">
        <v>341</v>
      </c>
      <c r="P68" s="5" t="s">
        <v>33</v>
      </c>
      <c r="Q68" s="5" t="s">
        <v>28</v>
      </c>
      <c r="R68" s="5" t="s">
        <v>28</v>
      </c>
      <c r="S68" s="5" t="s">
        <v>28</v>
      </c>
      <c r="T68" s="7">
        <v>30000</v>
      </c>
      <c r="U68" s="5" t="s">
        <v>352</v>
      </c>
      <c r="V68" s="5" t="s">
        <v>28</v>
      </c>
    </row>
    <row r="69" spans="1:22" s="4" customFormat="1" x14ac:dyDescent="0.25">
      <c r="A69" s="5">
        <v>68</v>
      </c>
      <c r="B69" s="9" t="s">
        <v>274</v>
      </c>
      <c r="C69" s="5" t="s">
        <v>365</v>
      </c>
      <c r="D69" s="5" t="s">
        <v>337</v>
      </c>
      <c r="E69" s="5" t="s">
        <v>45</v>
      </c>
      <c r="F69" s="5" t="s">
        <v>26</v>
      </c>
      <c r="G69" s="5" t="s">
        <v>28</v>
      </c>
      <c r="H69" s="5" t="s">
        <v>28</v>
      </c>
      <c r="I69" s="5" t="s">
        <v>366</v>
      </c>
      <c r="J69" s="5" t="s">
        <v>28</v>
      </c>
      <c r="K69" s="5" t="s">
        <v>28</v>
      </c>
      <c r="L69" s="5" t="s">
        <v>28</v>
      </c>
      <c r="M69" s="5" t="s">
        <v>28</v>
      </c>
      <c r="N69" s="5" t="s">
        <v>340</v>
      </c>
      <c r="O69" s="5" t="s">
        <v>341</v>
      </c>
      <c r="P69" s="5" t="s">
        <v>33</v>
      </c>
      <c r="Q69" s="5" t="s">
        <v>28</v>
      </c>
      <c r="R69" s="5" t="s">
        <v>28</v>
      </c>
      <c r="S69" s="5" t="s">
        <v>28</v>
      </c>
      <c r="T69" s="7">
        <v>30000</v>
      </c>
      <c r="U69" s="5" t="s">
        <v>352</v>
      </c>
      <c r="V69" s="5" t="s">
        <v>28</v>
      </c>
    </row>
    <row r="70" spans="1:22" s="4" customFormat="1" x14ac:dyDescent="0.25">
      <c r="A70" s="5">
        <v>69</v>
      </c>
      <c r="B70" s="8" t="s">
        <v>83</v>
      </c>
      <c r="C70" s="5" t="s">
        <v>367</v>
      </c>
      <c r="D70" s="5" t="s">
        <v>368</v>
      </c>
      <c r="E70" s="5" t="s">
        <v>25</v>
      </c>
      <c r="F70" s="5" t="s">
        <v>58</v>
      </c>
      <c r="G70" s="5" t="s">
        <v>369</v>
      </c>
      <c r="H70" s="5" t="s">
        <v>28</v>
      </c>
      <c r="I70" s="5" t="s">
        <v>28</v>
      </c>
      <c r="J70" s="5" t="s">
        <v>28</v>
      </c>
      <c r="K70" s="5" t="s">
        <v>279</v>
      </c>
      <c r="L70" s="5" t="s">
        <v>28</v>
      </c>
      <c r="M70" s="5" t="s">
        <v>28</v>
      </c>
      <c r="N70" s="5" t="s">
        <v>370</v>
      </c>
      <c r="O70" s="5" t="s">
        <v>371</v>
      </c>
      <c r="P70" s="5" t="s">
        <v>33</v>
      </c>
      <c r="Q70" s="5" t="s">
        <v>28</v>
      </c>
      <c r="R70" s="5" t="s">
        <v>28</v>
      </c>
      <c r="S70" s="5" t="s">
        <v>28</v>
      </c>
      <c r="T70" s="7">
        <v>100000</v>
      </c>
      <c r="U70" s="5" t="s">
        <v>279</v>
      </c>
      <c r="V70" s="5" t="s">
        <v>372</v>
      </c>
    </row>
    <row r="71" spans="1:22" s="4" customFormat="1" x14ac:dyDescent="0.25">
      <c r="A71" s="5">
        <v>70</v>
      </c>
      <c r="B71" s="8" t="s">
        <v>83</v>
      </c>
      <c r="C71" s="5" t="s">
        <v>373</v>
      </c>
      <c r="D71" s="5" t="s">
        <v>368</v>
      </c>
      <c r="E71" s="5" t="s">
        <v>25</v>
      </c>
      <c r="F71" s="5" t="s">
        <v>51</v>
      </c>
      <c r="G71" s="5" t="s">
        <v>374</v>
      </c>
      <c r="H71" s="5" t="s">
        <v>28</v>
      </c>
      <c r="I71" s="5" t="s">
        <v>28</v>
      </c>
      <c r="J71" s="5" t="s">
        <v>28</v>
      </c>
      <c r="K71" s="5" t="s">
        <v>375</v>
      </c>
      <c r="L71" s="5" t="s">
        <v>28</v>
      </c>
      <c r="M71" s="5" t="s">
        <v>28</v>
      </c>
      <c r="N71" s="5" t="s">
        <v>105</v>
      </c>
      <c r="O71" s="5" t="s">
        <v>371</v>
      </c>
      <c r="P71" s="5" t="s">
        <v>33</v>
      </c>
      <c r="Q71" s="5" t="s">
        <v>28</v>
      </c>
      <c r="R71" s="5" t="s">
        <v>28</v>
      </c>
      <c r="S71" s="5" t="s">
        <v>28</v>
      </c>
      <c r="T71" s="7">
        <v>60000</v>
      </c>
      <c r="U71" s="5" t="s">
        <v>375</v>
      </c>
      <c r="V71" s="5" t="s">
        <v>28</v>
      </c>
    </row>
    <row r="72" spans="1:22" s="4" customFormat="1" x14ac:dyDescent="0.25">
      <c r="A72" s="5">
        <v>71</v>
      </c>
      <c r="B72" s="6" t="s">
        <v>22</v>
      </c>
      <c r="C72" s="5" t="s">
        <v>376</v>
      </c>
      <c r="D72" s="5" t="s">
        <v>377</v>
      </c>
      <c r="E72" s="5" t="s">
        <v>153</v>
      </c>
      <c r="F72" s="5" t="s">
        <v>26</v>
      </c>
      <c r="G72" s="5" t="s">
        <v>378</v>
      </c>
      <c r="H72" s="5" t="s">
        <v>28</v>
      </c>
      <c r="I72" s="5" t="s">
        <v>28</v>
      </c>
      <c r="J72" s="5" t="s">
        <v>28</v>
      </c>
      <c r="K72" s="5" t="s">
        <v>28</v>
      </c>
      <c r="L72" s="5" t="s">
        <v>28</v>
      </c>
      <c r="M72" s="5" t="s">
        <v>28</v>
      </c>
      <c r="N72" s="5" t="s">
        <v>379</v>
      </c>
      <c r="O72" s="5" t="s">
        <v>380</v>
      </c>
      <c r="P72" s="5" t="s">
        <v>33</v>
      </c>
      <c r="Q72" s="5" t="s">
        <v>28</v>
      </c>
      <c r="R72" s="5" t="s">
        <v>28</v>
      </c>
      <c r="S72" s="5" t="s">
        <v>28</v>
      </c>
      <c r="T72" s="7">
        <v>400000</v>
      </c>
      <c r="U72" s="5" t="s">
        <v>303</v>
      </c>
      <c r="V72" s="5" t="s">
        <v>381</v>
      </c>
    </row>
    <row r="73" spans="1:22" s="4" customFormat="1" x14ac:dyDescent="0.25">
      <c r="A73" s="5">
        <v>72</v>
      </c>
      <c r="B73" s="8" t="s">
        <v>83</v>
      </c>
      <c r="C73" s="5" t="s">
        <v>382</v>
      </c>
      <c r="D73" s="5" t="s">
        <v>377</v>
      </c>
      <c r="E73" s="5" t="s">
        <v>153</v>
      </c>
      <c r="F73" s="5" t="s">
        <v>26</v>
      </c>
      <c r="G73" s="5" t="s">
        <v>383</v>
      </c>
      <c r="H73" s="5" t="s">
        <v>28</v>
      </c>
      <c r="I73" s="5" t="s">
        <v>28</v>
      </c>
      <c r="J73" s="5" t="s">
        <v>28</v>
      </c>
      <c r="K73" s="5" t="s">
        <v>28</v>
      </c>
      <c r="L73" s="5" t="s">
        <v>28</v>
      </c>
      <c r="M73" s="5" t="s">
        <v>28</v>
      </c>
      <c r="N73" s="5" t="s">
        <v>384</v>
      </c>
      <c r="O73" s="5" t="s">
        <v>380</v>
      </c>
      <c r="P73" s="5" t="s">
        <v>33</v>
      </c>
      <c r="Q73" s="5" t="s">
        <v>28</v>
      </c>
      <c r="R73" s="5" t="s">
        <v>28</v>
      </c>
      <c r="S73" s="5" t="s">
        <v>28</v>
      </c>
      <c r="T73" s="7">
        <v>300000</v>
      </c>
      <c r="U73" s="5" t="s">
        <v>303</v>
      </c>
      <c r="V73" s="5" t="s">
        <v>385</v>
      </c>
    </row>
    <row r="74" spans="1:22" s="4" customFormat="1" x14ac:dyDescent="0.25">
      <c r="A74" s="5">
        <v>73</v>
      </c>
      <c r="B74" s="6" t="s">
        <v>22</v>
      </c>
      <c r="C74" s="5" t="s">
        <v>386</v>
      </c>
      <c r="D74" s="5" t="s">
        <v>377</v>
      </c>
      <c r="E74" s="5" t="s">
        <v>153</v>
      </c>
      <c r="F74" s="5" t="s">
        <v>58</v>
      </c>
      <c r="G74" s="5" t="s">
        <v>387</v>
      </c>
      <c r="H74" s="5" t="s">
        <v>28</v>
      </c>
      <c r="I74" s="5" t="s">
        <v>28</v>
      </c>
      <c r="J74" s="5" t="s">
        <v>28</v>
      </c>
      <c r="K74" s="5" t="s">
        <v>388</v>
      </c>
      <c r="L74" s="5" t="s">
        <v>28</v>
      </c>
      <c r="M74" s="5" t="s">
        <v>28</v>
      </c>
      <c r="N74" s="5" t="s">
        <v>389</v>
      </c>
      <c r="O74" s="5" t="s">
        <v>380</v>
      </c>
      <c r="P74" s="5" t="s">
        <v>33</v>
      </c>
      <c r="Q74" s="5" t="s">
        <v>28</v>
      </c>
      <c r="R74" s="5" t="s">
        <v>28</v>
      </c>
      <c r="S74" s="5" t="s">
        <v>28</v>
      </c>
      <c r="T74" s="7">
        <v>0</v>
      </c>
      <c r="U74" s="5" t="s">
        <v>388</v>
      </c>
      <c r="V74" s="5" t="s">
        <v>390</v>
      </c>
    </row>
    <row r="75" spans="1:22" s="4" customFormat="1" x14ac:dyDescent="0.25">
      <c r="A75" s="5">
        <v>74</v>
      </c>
      <c r="B75" s="6" t="s">
        <v>22</v>
      </c>
      <c r="C75" s="5" t="s">
        <v>391</v>
      </c>
      <c r="D75" s="5" t="s">
        <v>392</v>
      </c>
      <c r="E75" s="5" t="s">
        <v>153</v>
      </c>
      <c r="F75" s="5" t="s">
        <v>51</v>
      </c>
      <c r="G75" s="5" t="s">
        <v>393</v>
      </c>
      <c r="H75" s="5" t="s">
        <v>28</v>
      </c>
      <c r="I75" s="5" t="s">
        <v>28</v>
      </c>
      <c r="J75" s="5" t="s">
        <v>28</v>
      </c>
      <c r="K75" s="5" t="s">
        <v>394</v>
      </c>
      <c r="L75" s="5" t="s">
        <v>28</v>
      </c>
      <c r="M75" s="5" t="s">
        <v>28</v>
      </c>
      <c r="N75" s="5" t="s">
        <v>395</v>
      </c>
      <c r="O75" s="5" t="s">
        <v>116</v>
      </c>
      <c r="P75" s="5" t="s">
        <v>33</v>
      </c>
      <c r="Q75" s="5" t="s">
        <v>28</v>
      </c>
      <c r="R75" s="5" t="s">
        <v>28</v>
      </c>
      <c r="S75" s="5" t="s">
        <v>28</v>
      </c>
      <c r="T75" s="7">
        <v>300000</v>
      </c>
      <c r="U75" s="5" t="s">
        <v>394</v>
      </c>
      <c r="V75" s="5" t="s">
        <v>396</v>
      </c>
    </row>
    <row r="76" spans="1:22" s="4" customFormat="1" x14ac:dyDescent="0.25">
      <c r="A76" s="5">
        <v>75</v>
      </c>
      <c r="B76" s="6" t="s">
        <v>22</v>
      </c>
      <c r="C76" s="5" t="s">
        <v>397</v>
      </c>
      <c r="D76" s="5" t="s">
        <v>392</v>
      </c>
      <c r="E76" s="5" t="s">
        <v>153</v>
      </c>
      <c r="F76" s="5" t="s">
        <v>26</v>
      </c>
      <c r="G76" s="5" t="s">
        <v>398</v>
      </c>
      <c r="H76" s="5" t="s">
        <v>28</v>
      </c>
      <c r="I76" s="5" t="s">
        <v>28</v>
      </c>
      <c r="J76" s="5" t="s">
        <v>28</v>
      </c>
      <c r="K76" s="5" t="s">
        <v>399</v>
      </c>
      <c r="L76" s="5" t="s">
        <v>28</v>
      </c>
      <c r="M76" s="5" t="s">
        <v>28</v>
      </c>
      <c r="N76" s="5" t="s">
        <v>400</v>
      </c>
      <c r="O76" s="5" t="s">
        <v>116</v>
      </c>
      <c r="P76" s="5" t="s">
        <v>33</v>
      </c>
      <c r="Q76" s="5" t="s">
        <v>28</v>
      </c>
      <c r="R76" s="5" t="s">
        <v>28</v>
      </c>
      <c r="S76" s="5" t="s">
        <v>28</v>
      </c>
      <c r="T76" s="7">
        <v>400000</v>
      </c>
      <c r="U76" s="5" t="s">
        <v>401</v>
      </c>
      <c r="V76" s="5" t="s">
        <v>402</v>
      </c>
    </row>
    <row r="77" spans="1:22" s="4" customFormat="1" x14ac:dyDescent="0.25">
      <c r="A77" s="5">
        <v>76</v>
      </c>
      <c r="B77" s="6" t="s">
        <v>22</v>
      </c>
      <c r="C77" s="5" t="s">
        <v>403</v>
      </c>
      <c r="D77" s="5" t="s">
        <v>392</v>
      </c>
      <c r="E77" s="5" t="s">
        <v>153</v>
      </c>
      <c r="F77" s="5" t="s">
        <v>26</v>
      </c>
      <c r="G77" s="5" t="s">
        <v>404</v>
      </c>
      <c r="H77" s="5" t="s">
        <v>28</v>
      </c>
      <c r="I77" s="5" t="s">
        <v>28</v>
      </c>
      <c r="J77" s="5" t="s">
        <v>28</v>
      </c>
      <c r="K77" s="5" t="s">
        <v>405</v>
      </c>
      <c r="L77" s="5" t="s">
        <v>28</v>
      </c>
      <c r="M77" s="5" t="s">
        <v>28</v>
      </c>
      <c r="N77" s="5" t="s">
        <v>400</v>
      </c>
      <c r="O77" s="5" t="s">
        <v>116</v>
      </c>
      <c r="P77" s="5" t="s">
        <v>33</v>
      </c>
      <c r="Q77" s="5" t="s">
        <v>28</v>
      </c>
      <c r="R77" s="5" t="s">
        <v>28</v>
      </c>
      <c r="S77" s="5" t="s">
        <v>28</v>
      </c>
      <c r="T77" s="7">
        <v>400000</v>
      </c>
      <c r="U77" s="5" t="s">
        <v>401</v>
      </c>
      <c r="V77" s="5" t="s">
        <v>406</v>
      </c>
    </row>
    <row r="78" spans="1:22" s="4" customFormat="1" x14ac:dyDescent="0.25">
      <c r="A78" s="5">
        <v>77</v>
      </c>
      <c r="B78" s="8" t="s">
        <v>83</v>
      </c>
      <c r="C78" s="5" t="s">
        <v>407</v>
      </c>
      <c r="D78" s="5" t="s">
        <v>392</v>
      </c>
      <c r="E78" s="5" t="s">
        <v>153</v>
      </c>
      <c r="F78" s="5" t="s">
        <v>26</v>
      </c>
      <c r="G78" s="5" t="s">
        <v>404</v>
      </c>
      <c r="H78" s="5" t="s">
        <v>28</v>
      </c>
      <c r="I78" s="5" t="s">
        <v>28</v>
      </c>
      <c r="J78" s="5" t="s">
        <v>28</v>
      </c>
      <c r="K78" s="5" t="s">
        <v>408</v>
      </c>
      <c r="L78" s="5" t="s">
        <v>28</v>
      </c>
      <c r="M78" s="5" t="s">
        <v>28</v>
      </c>
      <c r="N78" s="5" t="s">
        <v>400</v>
      </c>
      <c r="O78" s="5" t="s">
        <v>116</v>
      </c>
      <c r="P78" s="5" t="s">
        <v>33</v>
      </c>
      <c r="Q78" s="5" t="s">
        <v>28</v>
      </c>
      <c r="R78" s="5" t="s">
        <v>28</v>
      </c>
      <c r="S78" s="5" t="s">
        <v>28</v>
      </c>
      <c r="T78" s="7">
        <v>400000</v>
      </c>
      <c r="U78" s="5" t="s">
        <v>401</v>
      </c>
      <c r="V78" s="5" t="s">
        <v>28</v>
      </c>
    </row>
    <row r="79" spans="1:22" s="4" customFormat="1" x14ac:dyDescent="0.25">
      <c r="A79" s="5">
        <v>78</v>
      </c>
      <c r="B79" s="8" t="s">
        <v>83</v>
      </c>
      <c r="C79" s="5" t="s">
        <v>409</v>
      </c>
      <c r="D79" s="5" t="s">
        <v>392</v>
      </c>
      <c r="E79" s="5" t="s">
        <v>311</v>
      </c>
      <c r="F79" s="5" t="s">
        <v>26</v>
      </c>
      <c r="G79" s="5" t="s">
        <v>410</v>
      </c>
      <c r="H79" s="5" t="s">
        <v>28</v>
      </c>
      <c r="I79" s="5" t="s">
        <v>28</v>
      </c>
      <c r="J79" s="5" t="s">
        <v>28</v>
      </c>
      <c r="K79" s="5" t="s">
        <v>411</v>
      </c>
      <c r="L79" s="5" t="s">
        <v>28</v>
      </c>
      <c r="M79" s="5" t="s">
        <v>28</v>
      </c>
      <c r="N79" s="5" t="s">
        <v>412</v>
      </c>
      <c r="O79" s="5" t="s">
        <v>116</v>
      </c>
      <c r="P79" s="5" t="s">
        <v>33</v>
      </c>
      <c r="Q79" s="5" t="s">
        <v>28</v>
      </c>
      <c r="R79" s="5" t="s">
        <v>28</v>
      </c>
      <c r="S79" s="5" t="s">
        <v>28</v>
      </c>
      <c r="T79" s="7">
        <v>200000</v>
      </c>
      <c r="U79" s="5" t="s">
        <v>411</v>
      </c>
      <c r="V79" s="5" t="s">
        <v>413</v>
      </c>
    </row>
    <row r="80" spans="1:22" s="4" customFormat="1" x14ac:dyDescent="0.25">
      <c r="A80" s="5">
        <v>79</v>
      </c>
      <c r="B80" s="8" t="s">
        <v>83</v>
      </c>
      <c r="C80" s="5" t="s">
        <v>414</v>
      </c>
      <c r="D80" s="5" t="s">
        <v>392</v>
      </c>
      <c r="E80" s="5" t="s">
        <v>153</v>
      </c>
      <c r="F80" s="5" t="s">
        <v>26</v>
      </c>
      <c r="G80" s="5" t="s">
        <v>3</v>
      </c>
      <c r="H80" s="5" t="s">
        <v>28</v>
      </c>
      <c r="I80" s="5" t="s">
        <v>28</v>
      </c>
      <c r="J80" s="5" t="s">
        <v>28</v>
      </c>
      <c r="K80" s="5" t="s">
        <v>28</v>
      </c>
      <c r="L80" s="5" t="s">
        <v>28</v>
      </c>
      <c r="M80" s="5" t="s">
        <v>28</v>
      </c>
      <c r="N80" s="5" t="s">
        <v>415</v>
      </c>
      <c r="O80" s="5" t="s">
        <v>116</v>
      </c>
      <c r="P80" s="5" t="s">
        <v>33</v>
      </c>
      <c r="Q80" s="5" t="s">
        <v>28</v>
      </c>
      <c r="R80" s="5" t="s">
        <v>28</v>
      </c>
      <c r="S80" s="5" t="s">
        <v>28</v>
      </c>
      <c r="T80" s="7">
        <v>300000</v>
      </c>
      <c r="U80" s="5" t="s">
        <v>303</v>
      </c>
      <c r="V80" s="5" t="s">
        <v>416</v>
      </c>
    </row>
    <row r="81" spans="1:22" s="4" customFormat="1" x14ac:dyDescent="0.25">
      <c r="A81" s="5">
        <v>80</v>
      </c>
      <c r="B81" s="8" t="s">
        <v>83</v>
      </c>
      <c r="C81" s="5" t="s">
        <v>417</v>
      </c>
      <c r="D81" s="5" t="s">
        <v>418</v>
      </c>
      <c r="E81" s="5" t="s">
        <v>25</v>
      </c>
      <c r="F81" s="5" t="s">
        <v>419</v>
      </c>
      <c r="G81" s="5" t="s">
        <v>420</v>
      </c>
      <c r="H81" s="5" t="s">
        <v>28</v>
      </c>
      <c r="I81" s="5" t="s">
        <v>28</v>
      </c>
      <c r="J81" s="5" t="s">
        <v>28</v>
      </c>
      <c r="K81" s="5" t="s">
        <v>28</v>
      </c>
      <c r="L81" s="5" t="s">
        <v>28</v>
      </c>
      <c r="M81" s="5" t="s">
        <v>28</v>
      </c>
      <c r="N81" s="5" t="s">
        <v>421</v>
      </c>
      <c r="O81" s="5" t="s">
        <v>422</v>
      </c>
      <c r="P81" s="5" t="s">
        <v>33</v>
      </c>
      <c r="Q81" s="5" t="s">
        <v>28</v>
      </c>
      <c r="R81" s="5" t="s">
        <v>28</v>
      </c>
      <c r="S81" s="5" t="s">
        <v>28</v>
      </c>
      <c r="T81" s="7">
        <v>0</v>
      </c>
      <c r="U81" s="5" t="s">
        <v>423</v>
      </c>
      <c r="V81" s="5" t="s">
        <v>424</v>
      </c>
    </row>
    <row r="82" spans="1:22" s="4" customFormat="1" x14ac:dyDescent="0.25">
      <c r="A82" s="5">
        <v>81</v>
      </c>
      <c r="B82" s="8" t="s">
        <v>83</v>
      </c>
      <c r="C82" s="5" t="s">
        <v>425</v>
      </c>
      <c r="D82" s="5" t="s">
        <v>418</v>
      </c>
      <c r="E82" s="5" t="s">
        <v>25</v>
      </c>
      <c r="F82" s="5" t="s">
        <v>58</v>
      </c>
      <c r="G82" s="5" t="s">
        <v>426</v>
      </c>
      <c r="H82" s="5" t="s">
        <v>28</v>
      </c>
      <c r="I82" s="5" t="s">
        <v>28</v>
      </c>
      <c r="J82" s="5" t="s">
        <v>28</v>
      </c>
      <c r="K82" s="5" t="s">
        <v>28</v>
      </c>
      <c r="L82" s="5" t="s">
        <v>28</v>
      </c>
      <c r="M82" s="5" t="s">
        <v>427</v>
      </c>
      <c r="N82" s="5" t="s">
        <v>12</v>
      </c>
      <c r="O82" s="5" t="s">
        <v>422</v>
      </c>
      <c r="P82" s="5" t="s">
        <v>33</v>
      </c>
      <c r="Q82" s="5" t="s">
        <v>28</v>
      </c>
      <c r="R82" s="5" t="s">
        <v>28</v>
      </c>
      <c r="S82" s="5" t="s">
        <v>28</v>
      </c>
      <c r="T82" s="7">
        <v>0</v>
      </c>
      <c r="U82" s="5" t="s">
        <v>427</v>
      </c>
      <c r="V82" s="5" t="s">
        <v>428</v>
      </c>
    </row>
    <row r="83" spans="1:22" s="4" customFormat="1" x14ac:dyDescent="0.25">
      <c r="A83" s="5">
        <v>82</v>
      </c>
      <c r="B83" s="8" t="s">
        <v>83</v>
      </c>
      <c r="C83" s="5" t="s">
        <v>429</v>
      </c>
      <c r="D83" s="5" t="s">
        <v>418</v>
      </c>
      <c r="E83" s="5" t="s">
        <v>25</v>
      </c>
      <c r="F83" s="5" t="s">
        <v>58</v>
      </c>
      <c r="G83" s="5" t="s">
        <v>426</v>
      </c>
      <c r="H83" s="5" t="s">
        <v>28</v>
      </c>
      <c r="I83" s="5" t="s">
        <v>28</v>
      </c>
      <c r="J83" s="5" t="s">
        <v>28</v>
      </c>
      <c r="K83" s="5" t="s">
        <v>28</v>
      </c>
      <c r="L83" s="5" t="s">
        <v>28</v>
      </c>
      <c r="M83" s="5" t="s">
        <v>430</v>
      </c>
      <c r="N83" s="5" t="s">
        <v>12</v>
      </c>
      <c r="O83" s="5" t="s">
        <v>422</v>
      </c>
      <c r="P83" s="5" t="s">
        <v>33</v>
      </c>
      <c r="Q83" s="5" t="s">
        <v>28</v>
      </c>
      <c r="R83" s="5" t="s">
        <v>28</v>
      </c>
      <c r="S83" s="5" t="s">
        <v>28</v>
      </c>
      <c r="T83" s="7">
        <v>0</v>
      </c>
      <c r="U83" s="5" t="s">
        <v>431</v>
      </c>
      <c r="V83" s="5" t="s">
        <v>432</v>
      </c>
    </row>
    <row r="84" spans="1:22" s="4" customFormat="1" x14ac:dyDescent="0.25">
      <c r="A84" s="5">
        <v>83</v>
      </c>
      <c r="B84" s="8" t="s">
        <v>83</v>
      </c>
      <c r="C84" s="5" t="s">
        <v>433</v>
      </c>
      <c r="D84" s="5" t="s">
        <v>418</v>
      </c>
      <c r="E84" s="5" t="s">
        <v>153</v>
      </c>
      <c r="F84" s="5" t="s">
        <v>58</v>
      </c>
      <c r="G84" s="5" t="s">
        <v>434</v>
      </c>
      <c r="H84" s="5" t="s">
        <v>28</v>
      </c>
      <c r="I84" s="5" t="s">
        <v>28</v>
      </c>
      <c r="J84" s="5" t="s">
        <v>28</v>
      </c>
      <c r="K84" s="5" t="s">
        <v>435</v>
      </c>
      <c r="L84" s="5" t="s">
        <v>28</v>
      </c>
      <c r="M84" s="5" t="s">
        <v>28</v>
      </c>
      <c r="N84" s="5" t="s">
        <v>436</v>
      </c>
      <c r="O84" s="5" t="s">
        <v>422</v>
      </c>
      <c r="P84" s="5" t="s">
        <v>33</v>
      </c>
      <c r="Q84" s="5" t="s">
        <v>28</v>
      </c>
      <c r="R84" s="5" t="s">
        <v>28</v>
      </c>
      <c r="S84" s="5" t="s">
        <v>28</v>
      </c>
      <c r="T84" s="7">
        <v>0</v>
      </c>
      <c r="U84" s="5" t="s">
        <v>303</v>
      </c>
      <c r="V84" s="5" t="s">
        <v>437</v>
      </c>
    </row>
    <row r="85" spans="1:22" s="4" customFormat="1" x14ac:dyDescent="0.25">
      <c r="A85" s="5">
        <v>84</v>
      </c>
      <c r="B85" s="8" t="s">
        <v>83</v>
      </c>
      <c r="C85" s="5" t="s">
        <v>438</v>
      </c>
      <c r="D85" s="5" t="s">
        <v>418</v>
      </c>
      <c r="E85" s="5" t="s">
        <v>153</v>
      </c>
      <c r="F85" s="5" t="s">
        <v>439</v>
      </c>
      <c r="G85" s="5" t="s">
        <v>440</v>
      </c>
      <c r="H85" s="5" t="s">
        <v>28</v>
      </c>
      <c r="I85" s="5" t="s">
        <v>28</v>
      </c>
      <c r="J85" s="5" t="s">
        <v>28</v>
      </c>
      <c r="K85" s="5" t="s">
        <v>211</v>
      </c>
      <c r="L85" s="5" t="s">
        <v>28</v>
      </c>
      <c r="M85" s="5" t="s">
        <v>28</v>
      </c>
      <c r="N85" s="5" t="s">
        <v>436</v>
      </c>
      <c r="O85" s="5" t="s">
        <v>422</v>
      </c>
      <c r="P85" s="5" t="s">
        <v>33</v>
      </c>
      <c r="Q85" s="5" t="s">
        <v>28</v>
      </c>
      <c r="R85" s="5" t="s">
        <v>28</v>
      </c>
      <c r="S85" s="5" t="s">
        <v>28</v>
      </c>
      <c r="T85" s="7">
        <v>0</v>
      </c>
      <c r="U85" s="5" t="s">
        <v>211</v>
      </c>
      <c r="V85" s="5" t="s">
        <v>441</v>
      </c>
    </row>
    <row r="86" spans="1:22" s="4" customFormat="1" x14ac:dyDescent="0.25">
      <c r="A86" s="5">
        <v>85</v>
      </c>
      <c r="B86" s="9" t="s">
        <v>274</v>
      </c>
      <c r="C86" s="5" t="s">
        <v>442</v>
      </c>
      <c r="D86" s="5" t="s">
        <v>443</v>
      </c>
      <c r="E86" s="5" t="s">
        <v>25</v>
      </c>
      <c r="F86" s="5" t="s">
        <v>444</v>
      </c>
      <c r="G86" s="5" t="s">
        <v>445</v>
      </c>
      <c r="H86" s="5" t="s">
        <v>28</v>
      </c>
      <c r="I86" s="5" t="s">
        <v>28</v>
      </c>
      <c r="J86" s="5" t="s">
        <v>28</v>
      </c>
      <c r="K86" s="5" t="s">
        <v>28</v>
      </c>
      <c r="L86" s="5" t="s">
        <v>28</v>
      </c>
      <c r="M86" s="5" t="s">
        <v>28</v>
      </c>
      <c r="N86" s="5" t="s">
        <v>446</v>
      </c>
      <c r="O86" s="5" t="s">
        <v>32</v>
      </c>
      <c r="P86" s="5" t="s">
        <v>33</v>
      </c>
      <c r="Q86" s="5" t="s">
        <v>28</v>
      </c>
      <c r="R86" s="5" t="s">
        <v>28</v>
      </c>
      <c r="S86" s="5" t="s">
        <v>28</v>
      </c>
      <c r="T86" s="7">
        <v>50000</v>
      </c>
      <c r="U86" s="5" t="s">
        <v>303</v>
      </c>
      <c r="V86" s="5" t="s">
        <v>447</v>
      </c>
    </row>
    <row r="87" spans="1:22" s="4" customFormat="1" x14ac:dyDescent="0.25">
      <c r="A87" s="5">
        <v>86</v>
      </c>
      <c r="B87" s="9" t="s">
        <v>274</v>
      </c>
      <c r="C87" s="5" t="s">
        <v>448</v>
      </c>
      <c r="D87" s="5" t="s">
        <v>443</v>
      </c>
      <c r="E87" s="5" t="s">
        <v>25</v>
      </c>
      <c r="F87" s="5" t="s">
        <v>449</v>
      </c>
      <c r="G87" s="5" t="s">
        <v>445</v>
      </c>
      <c r="H87" s="5" t="s">
        <v>28</v>
      </c>
      <c r="I87" s="5" t="s">
        <v>28</v>
      </c>
      <c r="J87" s="5" t="s">
        <v>28</v>
      </c>
      <c r="K87" s="5" t="s">
        <v>28</v>
      </c>
      <c r="L87" s="5" t="s">
        <v>28</v>
      </c>
      <c r="M87" s="5" t="s">
        <v>28</v>
      </c>
      <c r="N87" s="5" t="s">
        <v>446</v>
      </c>
      <c r="O87" s="5" t="s">
        <v>32</v>
      </c>
      <c r="P87" s="5" t="s">
        <v>33</v>
      </c>
      <c r="Q87" s="5" t="s">
        <v>28</v>
      </c>
      <c r="R87" s="5" t="s">
        <v>28</v>
      </c>
      <c r="S87" s="5" t="s">
        <v>28</v>
      </c>
      <c r="T87" s="7">
        <v>50000</v>
      </c>
      <c r="U87" s="5" t="s">
        <v>303</v>
      </c>
      <c r="V87" s="5" t="s">
        <v>450</v>
      </c>
    </row>
    <row r="88" spans="1:22" s="4" customFormat="1" x14ac:dyDescent="0.25">
      <c r="A88" s="5">
        <v>87</v>
      </c>
      <c r="B88" s="9" t="s">
        <v>274</v>
      </c>
      <c r="C88" s="5" t="s">
        <v>451</v>
      </c>
      <c r="D88" s="5" t="s">
        <v>443</v>
      </c>
      <c r="E88" s="5" t="s">
        <v>25</v>
      </c>
      <c r="F88" s="5" t="s">
        <v>452</v>
      </c>
      <c r="G88" s="5" t="s">
        <v>445</v>
      </c>
      <c r="H88" s="5" t="s">
        <v>28</v>
      </c>
      <c r="I88" s="5" t="s">
        <v>28</v>
      </c>
      <c r="J88" s="5" t="s">
        <v>28</v>
      </c>
      <c r="K88" s="5" t="s">
        <v>28</v>
      </c>
      <c r="L88" s="5" t="s">
        <v>28</v>
      </c>
      <c r="M88" s="5" t="s">
        <v>28</v>
      </c>
      <c r="N88" s="5" t="s">
        <v>446</v>
      </c>
      <c r="O88" s="5" t="s">
        <v>32</v>
      </c>
      <c r="P88" s="5" t="s">
        <v>33</v>
      </c>
      <c r="Q88" s="5" t="s">
        <v>28</v>
      </c>
      <c r="R88" s="5" t="s">
        <v>28</v>
      </c>
      <c r="S88" s="5" t="s">
        <v>28</v>
      </c>
      <c r="T88" s="7">
        <v>50000</v>
      </c>
      <c r="U88" s="5" t="s">
        <v>303</v>
      </c>
      <c r="V88" s="5" t="s">
        <v>28</v>
      </c>
    </row>
    <row r="89" spans="1:22" s="4" customFormat="1" x14ac:dyDescent="0.25">
      <c r="A89" s="5">
        <v>88</v>
      </c>
      <c r="B89" s="9" t="s">
        <v>274</v>
      </c>
      <c r="C89" s="5" t="s">
        <v>453</v>
      </c>
      <c r="D89" s="5" t="s">
        <v>443</v>
      </c>
      <c r="E89" s="5" t="s">
        <v>25</v>
      </c>
      <c r="F89" s="5" t="s">
        <v>454</v>
      </c>
      <c r="G89" s="5" t="s">
        <v>445</v>
      </c>
      <c r="H89" s="5" t="s">
        <v>28</v>
      </c>
      <c r="I89" s="5" t="s">
        <v>28</v>
      </c>
      <c r="J89" s="5" t="s">
        <v>28</v>
      </c>
      <c r="K89" s="5" t="s">
        <v>28</v>
      </c>
      <c r="L89" s="5" t="s">
        <v>28</v>
      </c>
      <c r="M89" s="5" t="s">
        <v>28</v>
      </c>
      <c r="N89" s="5" t="s">
        <v>446</v>
      </c>
      <c r="O89" s="5" t="s">
        <v>32</v>
      </c>
      <c r="P89" s="5" t="s">
        <v>33</v>
      </c>
      <c r="Q89" s="5" t="s">
        <v>28</v>
      </c>
      <c r="R89" s="5" t="s">
        <v>28</v>
      </c>
      <c r="S89" s="5" t="s">
        <v>28</v>
      </c>
      <c r="T89" s="7">
        <v>50000</v>
      </c>
      <c r="U89" s="5" t="s">
        <v>303</v>
      </c>
      <c r="V89" s="5" t="s">
        <v>455</v>
      </c>
    </row>
    <row r="90" spans="1:22" s="4" customFormat="1" x14ac:dyDescent="0.25">
      <c r="A90" s="5">
        <v>89</v>
      </c>
      <c r="B90" s="9" t="s">
        <v>274</v>
      </c>
      <c r="C90" s="5" t="s">
        <v>456</v>
      </c>
      <c r="D90" s="5" t="s">
        <v>443</v>
      </c>
      <c r="E90" s="5" t="s">
        <v>457</v>
      </c>
      <c r="F90" s="5" t="s">
        <v>102</v>
      </c>
      <c r="G90" s="5" t="s">
        <v>445</v>
      </c>
      <c r="H90" s="5" t="s">
        <v>28</v>
      </c>
      <c r="I90" s="5" t="s">
        <v>28</v>
      </c>
      <c r="J90" s="5" t="s">
        <v>28</v>
      </c>
      <c r="K90" s="5" t="s">
        <v>28</v>
      </c>
      <c r="L90" s="5" t="s">
        <v>28</v>
      </c>
      <c r="M90" s="5" t="s">
        <v>28</v>
      </c>
      <c r="N90" s="5" t="s">
        <v>446</v>
      </c>
      <c r="O90" s="5" t="s">
        <v>32</v>
      </c>
      <c r="P90" s="5" t="s">
        <v>33</v>
      </c>
      <c r="Q90" s="5" t="s">
        <v>28</v>
      </c>
      <c r="R90" s="5" t="s">
        <v>28</v>
      </c>
      <c r="S90" s="5" t="s">
        <v>28</v>
      </c>
      <c r="T90" s="7">
        <v>50000</v>
      </c>
      <c r="U90" s="5" t="s">
        <v>303</v>
      </c>
      <c r="V90" s="5" t="s">
        <v>458</v>
      </c>
    </row>
    <row r="91" spans="1:22" s="4" customFormat="1" x14ac:dyDescent="0.25">
      <c r="A91" s="5">
        <v>90</v>
      </c>
      <c r="B91" s="9" t="s">
        <v>274</v>
      </c>
      <c r="C91" s="5" t="s">
        <v>459</v>
      </c>
      <c r="D91" s="5" t="s">
        <v>443</v>
      </c>
      <c r="E91" s="5" t="s">
        <v>25</v>
      </c>
      <c r="F91" s="5" t="s">
        <v>460</v>
      </c>
      <c r="G91" s="5" t="s">
        <v>445</v>
      </c>
      <c r="H91" s="5" t="s">
        <v>28</v>
      </c>
      <c r="I91" s="5" t="s">
        <v>28</v>
      </c>
      <c r="J91" s="5" t="s">
        <v>28</v>
      </c>
      <c r="K91" s="5" t="s">
        <v>28</v>
      </c>
      <c r="L91" s="5" t="s">
        <v>28</v>
      </c>
      <c r="M91" s="5" t="s">
        <v>28</v>
      </c>
      <c r="N91" s="5" t="s">
        <v>446</v>
      </c>
      <c r="O91" s="5" t="s">
        <v>32</v>
      </c>
      <c r="P91" s="5" t="s">
        <v>33</v>
      </c>
      <c r="Q91" s="5" t="s">
        <v>28</v>
      </c>
      <c r="R91" s="5" t="s">
        <v>28</v>
      </c>
      <c r="S91" s="5" t="s">
        <v>28</v>
      </c>
      <c r="T91" s="7">
        <v>50000</v>
      </c>
      <c r="U91" s="5" t="s">
        <v>303</v>
      </c>
      <c r="V91" s="5" t="s">
        <v>461</v>
      </c>
    </row>
    <row r="92" spans="1:22" s="4" customFormat="1" x14ac:dyDescent="0.25">
      <c r="A92" s="5">
        <v>91</v>
      </c>
      <c r="B92" s="9" t="s">
        <v>274</v>
      </c>
      <c r="C92" s="5" t="s">
        <v>462</v>
      </c>
      <c r="D92" s="5" t="s">
        <v>443</v>
      </c>
      <c r="E92" s="5" t="s">
        <v>463</v>
      </c>
      <c r="F92" s="5" t="s">
        <v>464</v>
      </c>
      <c r="G92" s="5" t="s">
        <v>445</v>
      </c>
      <c r="H92" s="5" t="s">
        <v>28</v>
      </c>
      <c r="I92" s="5" t="s">
        <v>28</v>
      </c>
      <c r="J92" s="5" t="s">
        <v>28</v>
      </c>
      <c r="K92" s="5" t="s">
        <v>28</v>
      </c>
      <c r="L92" s="5" t="s">
        <v>28</v>
      </c>
      <c r="M92" s="5" t="s">
        <v>28</v>
      </c>
      <c r="N92" s="5" t="s">
        <v>446</v>
      </c>
      <c r="O92" s="5" t="s">
        <v>32</v>
      </c>
      <c r="P92" s="5" t="s">
        <v>33</v>
      </c>
      <c r="Q92" s="5" t="s">
        <v>28</v>
      </c>
      <c r="R92" s="5" t="s">
        <v>28</v>
      </c>
      <c r="S92" s="5" t="s">
        <v>28</v>
      </c>
      <c r="T92" s="7">
        <v>50000</v>
      </c>
      <c r="U92" s="5" t="s">
        <v>303</v>
      </c>
      <c r="V92" s="5" t="s">
        <v>28</v>
      </c>
    </row>
    <row r="93" spans="1:22" s="4" customFormat="1" x14ac:dyDescent="0.25">
      <c r="A93" s="5">
        <v>92</v>
      </c>
      <c r="B93" s="9" t="s">
        <v>274</v>
      </c>
      <c r="C93" s="5" t="s">
        <v>465</v>
      </c>
      <c r="D93" s="5" t="s">
        <v>443</v>
      </c>
      <c r="E93" s="5" t="s">
        <v>25</v>
      </c>
      <c r="F93" s="5" t="s">
        <v>466</v>
      </c>
      <c r="G93" s="5" t="s">
        <v>445</v>
      </c>
      <c r="H93" s="5" t="s">
        <v>28</v>
      </c>
      <c r="I93" s="5" t="s">
        <v>28</v>
      </c>
      <c r="J93" s="5" t="s">
        <v>28</v>
      </c>
      <c r="K93" s="5" t="s">
        <v>28</v>
      </c>
      <c r="L93" s="5" t="s">
        <v>28</v>
      </c>
      <c r="M93" s="5" t="s">
        <v>28</v>
      </c>
      <c r="N93" s="5" t="s">
        <v>446</v>
      </c>
      <c r="O93" s="5" t="s">
        <v>32</v>
      </c>
      <c r="P93" s="5" t="s">
        <v>33</v>
      </c>
      <c r="Q93" s="5" t="s">
        <v>28</v>
      </c>
      <c r="R93" s="5" t="s">
        <v>28</v>
      </c>
      <c r="S93" s="5" t="s">
        <v>28</v>
      </c>
      <c r="T93" s="7">
        <v>50000</v>
      </c>
      <c r="U93" s="5" t="s">
        <v>303</v>
      </c>
      <c r="V93" s="5" t="s">
        <v>28</v>
      </c>
    </row>
    <row r="94" spans="1:22" s="4" customFormat="1" x14ac:dyDescent="0.25">
      <c r="A94" s="5">
        <v>93</v>
      </c>
      <c r="B94" s="9" t="s">
        <v>274</v>
      </c>
      <c r="C94" s="5" t="s">
        <v>467</v>
      </c>
      <c r="D94" s="5" t="s">
        <v>443</v>
      </c>
      <c r="E94" s="5" t="s">
        <v>25</v>
      </c>
      <c r="F94" s="5" t="s">
        <v>468</v>
      </c>
      <c r="G94" s="5" t="s">
        <v>445</v>
      </c>
      <c r="H94" s="5" t="s">
        <v>28</v>
      </c>
      <c r="I94" s="5" t="s">
        <v>28</v>
      </c>
      <c r="J94" s="5" t="s">
        <v>28</v>
      </c>
      <c r="K94" s="5" t="s">
        <v>28</v>
      </c>
      <c r="L94" s="5" t="s">
        <v>28</v>
      </c>
      <c r="M94" s="5" t="s">
        <v>28</v>
      </c>
      <c r="N94" s="5" t="s">
        <v>446</v>
      </c>
      <c r="O94" s="5" t="s">
        <v>32</v>
      </c>
      <c r="P94" s="5" t="s">
        <v>33</v>
      </c>
      <c r="Q94" s="5" t="s">
        <v>28</v>
      </c>
      <c r="R94" s="5" t="s">
        <v>28</v>
      </c>
      <c r="S94" s="5" t="s">
        <v>28</v>
      </c>
      <c r="T94" s="7">
        <v>50000</v>
      </c>
      <c r="U94" s="5" t="s">
        <v>303</v>
      </c>
      <c r="V94" s="5" t="s">
        <v>28</v>
      </c>
    </row>
    <row r="95" spans="1:22" s="4" customFormat="1" x14ac:dyDescent="0.25">
      <c r="A95" s="5">
        <v>94</v>
      </c>
      <c r="B95" s="9" t="s">
        <v>274</v>
      </c>
      <c r="C95" s="5" t="s">
        <v>469</v>
      </c>
      <c r="D95" s="5" t="s">
        <v>443</v>
      </c>
      <c r="E95" s="5" t="s">
        <v>25</v>
      </c>
      <c r="F95" s="5" t="s">
        <v>470</v>
      </c>
      <c r="G95" s="5" t="s">
        <v>445</v>
      </c>
      <c r="H95" s="5" t="s">
        <v>28</v>
      </c>
      <c r="I95" s="5" t="s">
        <v>28</v>
      </c>
      <c r="J95" s="5" t="s">
        <v>28</v>
      </c>
      <c r="K95" s="5" t="s">
        <v>28</v>
      </c>
      <c r="L95" s="5" t="s">
        <v>28</v>
      </c>
      <c r="M95" s="5" t="s">
        <v>28</v>
      </c>
      <c r="N95" s="5" t="s">
        <v>446</v>
      </c>
      <c r="O95" s="5" t="s">
        <v>32</v>
      </c>
      <c r="P95" s="5" t="s">
        <v>33</v>
      </c>
      <c r="Q95" s="5" t="s">
        <v>28</v>
      </c>
      <c r="R95" s="5" t="s">
        <v>28</v>
      </c>
      <c r="S95" s="5" t="s">
        <v>28</v>
      </c>
      <c r="T95" s="7">
        <v>50000</v>
      </c>
      <c r="U95" s="5" t="s">
        <v>303</v>
      </c>
      <c r="V95" s="5" t="s">
        <v>28</v>
      </c>
    </row>
    <row r="96" spans="1:22" s="4" customFormat="1" x14ac:dyDescent="0.25">
      <c r="A96" s="5">
        <v>95</v>
      </c>
      <c r="B96" s="9" t="s">
        <v>274</v>
      </c>
      <c r="C96" s="5" t="s">
        <v>471</v>
      </c>
      <c r="D96" s="5" t="s">
        <v>246</v>
      </c>
      <c r="E96" s="5" t="s">
        <v>25</v>
      </c>
      <c r="F96" s="5" t="s">
        <v>472</v>
      </c>
      <c r="G96" s="5" t="s">
        <v>473</v>
      </c>
      <c r="H96" s="5" t="s">
        <v>474</v>
      </c>
      <c r="I96" s="5" t="s">
        <v>475</v>
      </c>
      <c r="J96" s="5" t="s">
        <v>476</v>
      </c>
      <c r="K96" s="5" t="s">
        <v>28</v>
      </c>
      <c r="L96" s="5" t="s">
        <v>28</v>
      </c>
      <c r="M96" s="5" t="s">
        <v>28</v>
      </c>
      <c r="N96" s="5" t="s">
        <v>340</v>
      </c>
      <c r="O96" s="5" t="s">
        <v>32</v>
      </c>
      <c r="P96" s="5" t="s">
        <v>33</v>
      </c>
      <c r="Q96" s="5" t="s">
        <v>28</v>
      </c>
      <c r="R96" s="5" t="s">
        <v>28</v>
      </c>
      <c r="S96" s="5" t="s">
        <v>28</v>
      </c>
      <c r="T96" s="7">
        <v>60000</v>
      </c>
      <c r="U96" s="5" t="s">
        <v>266</v>
      </c>
      <c r="V96" s="5" t="s">
        <v>28</v>
      </c>
    </row>
    <row r="97" spans="1:22" s="4" customFormat="1" x14ac:dyDescent="0.25">
      <c r="A97" s="5">
        <v>96</v>
      </c>
      <c r="B97" s="9" t="s">
        <v>274</v>
      </c>
      <c r="C97" s="5" t="s">
        <v>477</v>
      </c>
      <c r="D97" s="5" t="s">
        <v>246</v>
      </c>
      <c r="E97" s="5" t="s">
        <v>25</v>
      </c>
      <c r="F97" s="5" t="s">
        <v>452</v>
      </c>
      <c r="G97" s="5" t="s">
        <v>473</v>
      </c>
      <c r="H97" s="5" t="s">
        <v>478</v>
      </c>
      <c r="I97" s="5" t="s">
        <v>479</v>
      </c>
      <c r="J97" s="5" t="s">
        <v>480</v>
      </c>
      <c r="K97" s="5" t="s">
        <v>28</v>
      </c>
      <c r="L97" s="5" t="s">
        <v>28</v>
      </c>
      <c r="M97" s="5" t="s">
        <v>28</v>
      </c>
      <c r="N97" s="5" t="s">
        <v>340</v>
      </c>
      <c r="O97" s="5" t="s">
        <v>32</v>
      </c>
      <c r="P97" s="5" t="s">
        <v>33</v>
      </c>
      <c r="Q97" s="5" t="s">
        <v>28</v>
      </c>
      <c r="R97" s="5" t="s">
        <v>28</v>
      </c>
      <c r="S97" s="5" t="s">
        <v>28</v>
      </c>
      <c r="T97" s="7">
        <v>60000</v>
      </c>
      <c r="U97" s="5" t="s">
        <v>266</v>
      </c>
      <c r="V97" s="5" t="s">
        <v>28</v>
      </c>
    </row>
    <row r="98" spans="1:22" s="4" customFormat="1" x14ac:dyDescent="0.25">
      <c r="A98" s="5">
        <v>97</v>
      </c>
      <c r="B98" s="9" t="s">
        <v>274</v>
      </c>
      <c r="C98" s="5" t="s">
        <v>481</v>
      </c>
      <c r="D98" s="5" t="s">
        <v>246</v>
      </c>
      <c r="E98" s="5" t="s">
        <v>25</v>
      </c>
      <c r="F98" s="5" t="s">
        <v>482</v>
      </c>
      <c r="G98" s="5" t="s">
        <v>473</v>
      </c>
      <c r="H98" s="5" t="s">
        <v>483</v>
      </c>
      <c r="I98" s="5" t="s">
        <v>484</v>
      </c>
      <c r="J98" s="5" t="s">
        <v>485</v>
      </c>
      <c r="K98" s="5" t="s">
        <v>28</v>
      </c>
      <c r="L98" s="5" t="s">
        <v>28</v>
      </c>
      <c r="M98" s="5" t="s">
        <v>28</v>
      </c>
      <c r="N98" s="5" t="s">
        <v>340</v>
      </c>
      <c r="O98" s="5" t="s">
        <v>32</v>
      </c>
      <c r="P98" s="5" t="s">
        <v>33</v>
      </c>
      <c r="Q98" s="5" t="s">
        <v>28</v>
      </c>
      <c r="R98" s="5" t="s">
        <v>28</v>
      </c>
      <c r="S98" s="5" t="s">
        <v>28</v>
      </c>
      <c r="T98" s="7">
        <v>60000</v>
      </c>
      <c r="U98" s="5" t="s">
        <v>266</v>
      </c>
      <c r="V98" s="5" t="s">
        <v>28</v>
      </c>
    </row>
    <row r="99" spans="1:22" s="4" customFormat="1" x14ac:dyDescent="0.25">
      <c r="A99" s="5">
        <v>98</v>
      </c>
      <c r="B99" s="9" t="s">
        <v>274</v>
      </c>
      <c r="C99" s="5" t="s">
        <v>486</v>
      </c>
      <c r="D99" s="5" t="s">
        <v>246</v>
      </c>
      <c r="E99" s="5" t="s">
        <v>25</v>
      </c>
      <c r="F99" s="5" t="s">
        <v>487</v>
      </c>
      <c r="G99" s="5" t="s">
        <v>473</v>
      </c>
      <c r="H99" s="5" t="s">
        <v>488</v>
      </c>
      <c r="I99" s="5" t="s">
        <v>489</v>
      </c>
      <c r="J99" s="5" t="s">
        <v>490</v>
      </c>
      <c r="K99" s="5" t="s">
        <v>491</v>
      </c>
      <c r="L99" s="5" t="s">
        <v>492</v>
      </c>
      <c r="M99" s="5" t="s">
        <v>28</v>
      </c>
      <c r="N99" s="5" t="s">
        <v>340</v>
      </c>
      <c r="O99" s="5" t="s">
        <v>32</v>
      </c>
      <c r="P99" s="5" t="s">
        <v>33</v>
      </c>
      <c r="Q99" s="5" t="s">
        <v>28</v>
      </c>
      <c r="R99" s="5" t="s">
        <v>28</v>
      </c>
      <c r="S99" s="5" t="s">
        <v>28</v>
      </c>
      <c r="T99" s="7">
        <v>60000</v>
      </c>
      <c r="U99" s="5" t="s">
        <v>266</v>
      </c>
      <c r="V99" s="5" t="s">
        <v>28</v>
      </c>
    </row>
    <row r="100" spans="1:22" s="4" customFormat="1" x14ac:dyDescent="0.25">
      <c r="A100" s="5">
        <v>99</v>
      </c>
      <c r="B100" s="9" t="s">
        <v>274</v>
      </c>
      <c r="C100" s="5" t="s">
        <v>493</v>
      </c>
      <c r="D100" s="5" t="s">
        <v>246</v>
      </c>
      <c r="E100" s="5" t="s">
        <v>25</v>
      </c>
      <c r="F100" s="5" t="s">
        <v>102</v>
      </c>
      <c r="G100" s="5" t="s">
        <v>473</v>
      </c>
      <c r="H100" s="5" t="s">
        <v>494</v>
      </c>
      <c r="I100" s="5" t="s">
        <v>495</v>
      </c>
      <c r="J100" s="5" t="s">
        <v>496</v>
      </c>
      <c r="K100" s="5" t="s">
        <v>497</v>
      </c>
      <c r="L100" s="5" t="s">
        <v>498</v>
      </c>
      <c r="M100" s="5" t="s">
        <v>28</v>
      </c>
      <c r="N100" s="5" t="s">
        <v>340</v>
      </c>
      <c r="O100" s="5" t="s">
        <v>32</v>
      </c>
      <c r="P100" s="5" t="s">
        <v>33</v>
      </c>
      <c r="Q100" s="5" t="s">
        <v>28</v>
      </c>
      <c r="R100" s="5" t="s">
        <v>28</v>
      </c>
      <c r="S100" s="5" t="s">
        <v>28</v>
      </c>
      <c r="T100" s="7">
        <v>60000</v>
      </c>
      <c r="U100" s="5" t="s">
        <v>266</v>
      </c>
      <c r="V100" s="5" t="s">
        <v>28</v>
      </c>
    </row>
    <row r="101" spans="1:22" s="4" customFormat="1" x14ac:dyDescent="0.25">
      <c r="A101" s="5">
        <v>100</v>
      </c>
      <c r="B101" s="9" t="s">
        <v>274</v>
      </c>
      <c r="C101" s="5" t="s">
        <v>499</v>
      </c>
      <c r="D101" s="5" t="s">
        <v>246</v>
      </c>
      <c r="E101" s="5" t="s">
        <v>25</v>
      </c>
      <c r="F101" s="5" t="s">
        <v>500</v>
      </c>
      <c r="G101" s="5" t="s">
        <v>473</v>
      </c>
      <c r="H101" s="5" t="s">
        <v>501</v>
      </c>
      <c r="I101" s="5" t="s">
        <v>502</v>
      </c>
      <c r="J101" s="5" t="s">
        <v>503</v>
      </c>
      <c r="K101" s="5" t="s">
        <v>504</v>
      </c>
      <c r="L101" s="5" t="s">
        <v>28</v>
      </c>
      <c r="M101" s="5" t="s">
        <v>28</v>
      </c>
      <c r="N101" s="5" t="s">
        <v>340</v>
      </c>
      <c r="O101" s="5" t="s">
        <v>32</v>
      </c>
      <c r="P101" s="5" t="s">
        <v>33</v>
      </c>
      <c r="Q101" s="5" t="s">
        <v>28</v>
      </c>
      <c r="R101" s="5" t="s">
        <v>28</v>
      </c>
      <c r="S101" s="5" t="s">
        <v>28</v>
      </c>
      <c r="T101" s="7">
        <v>60000</v>
      </c>
      <c r="U101" s="5" t="s">
        <v>266</v>
      </c>
      <c r="V101" s="5" t="s">
        <v>28</v>
      </c>
    </row>
    <row r="102" spans="1:22" s="4" customFormat="1" x14ac:dyDescent="0.25">
      <c r="A102" s="5">
        <v>101</v>
      </c>
      <c r="B102" s="9" t="s">
        <v>274</v>
      </c>
      <c r="C102" s="5" t="s">
        <v>505</v>
      </c>
      <c r="D102" s="5" t="s">
        <v>246</v>
      </c>
      <c r="E102" s="5" t="s">
        <v>25</v>
      </c>
      <c r="F102" s="5" t="s">
        <v>506</v>
      </c>
      <c r="G102" s="5" t="s">
        <v>473</v>
      </c>
      <c r="H102" s="5" t="s">
        <v>507</v>
      </c>
      <c r="I102" s="5" t="s">
        <v>508</v>
      </c>
      <c r="J102" s="5" t="s">
        <v>509</v>
      </c>
      <c r="K102" s="5" t="s">
        <v>28</v>
      </c>
      <c r="L102" s="5" t="s">
        <v>510</v>
      </c>
      <c r="M102" s="5" t="s">
        <v>28</v>
      </c>
      <c r="N102" s="5" t="s">
        <v>340</v>
      </c>
      <c r="O102" s="5" t="s">
        <v>32</v>
      </c>
      <c r="P102" s="5" t="s">
        <v>33</v>
      </c>
      <c r="Q102" s="5" t="s">
        <v>28</v>
      </c>
      <c r="R102" s="5" t="s">
        <v>28</v>
      </c>
      <c r="S102" s="5" t="s">
        <v>28</v>
      </c>
      <c r="T102" s="7">
        <v>60000</v>
      </c>
      <c r="U102" s="5" t="s">
        <v>266</v>
      </c>
      <c r="V102" s="5" t="s">
        <v>28</v>
      </c>
    </row>
    <row r="103" spans="1:22" s="4" customFormat="1" x14ac:dyDescent="0.25">
      <c r="A103" s="5">
        <v>102</v>
      </c>
      <c r="B103" s="9" t="s">
        <v>274</v>
      </c>
      <c r="C103" s="5" t="s">
        <v>511</v>
      </c>
      <c r="D103" s="5" t="s">
        <v>246</v>
      </c>
      <c r="E103" s="5" t="s">
        <v>25</v>
      </c>
      <c r="F103" s="5" t="s">
        <v>444</v>
      </c>
      <c r="G103" s="5" t="s">
        <v>473</v>
      </c>
      <c r="H103" s="5" t="s">
        <v>512</v>
      </c>
      <c r="I103" s="5" t="s">
        <v>513</v>
      </c>
      <c r="J103" s="5" t="s">
        <v>514</v>
      </c>
      <c r="K103" s="5" t="s">
        <v>515</v>
      </c>
      <c r="L103" s="5" t="s">
        <v>28</v>
      </c>
      <c r="M103" s="5" t="s">
        <v>28</v>
      </c>
      <c r="N103" s="5" t="s">
        <v>340</v>
      </c>
      <c r="O103" s="5" t="s">
        <v>32</v>
      </c>
      <c r="P103" s="5" t="s">
        <v>33</v>
      </c>
      <c r="Q103" s="5" t="s">
        <v>28</v>
      </c>
      <c r="R103" s="5" t="s">
        <v>28</v>
      </c>
      <c r="S103" s="5" t="s">
        <v>28</v>
      </c>
      <c r="T103" s="7">
        <v>60000</v>
      </c>
      <c r="U103" s="5" t="s">
        <v>266</v>
      </c>
      <c r="V103" s="5" t="s">
        <v>28</v>
      </c>
    </row>
    <row r="104" spans="1:22" s="4" customFormat="1" x14ac:dyDescent="0.25">
      <c r="A104" s="5">
        <v>103</v>
      </c>
      <c r="B104" s="9" t="s">
        <v>274</v>
      </c>
      <c r="C104" s="5" t="s">
        <v>516</v>
      </c>
      <c r="D104" s="5" t="s">
        <v>246</v>
      </c>
      <c r="E104" s="5" t="s">
        <v>25</v>
      </c>
      <c r="F104" s="5" t="s">
        <v>517</v>
      </c>
      <c r="G104" s="5" t="s">
        <v>473</v>
      </c>
      <c r="H104" s="5" t="s">
        <v>518</v>
      </c>
      <c r="I104" s="5" t="s">
        <v>519</v>
      </c>
      <c r="J104" s="5" t="s">
        <v>520</v>
      </c>
      <c r="K104" s="5" t="s">
        <v>28</v>
      </c>
      <c r="L104" s="5" t="s">
        <v>521</v>
      </c>
      <c r="M104" s="5" t="s">
        <v>28</v>
      </c>
      <c r="N104" s="5" t="s">
        <v>340</v>
      </c>
      <c r="O104" s="5" t="s">
        <v>32</v>
      </c>
      <c r="P104" s="5" t="s">
        <v>33</v>
      </c>
      <c r="Q104" s="5" t="s">
        <v>28</v>
      </c>
      <c r="R104" s="5" t="s">
        <v>28</v>
      </c>
      <c r="S104" s="5" t="s">
        <v>28</v>
      </c>
      <c r="T104" s="7">
        <v>60000</v>
      </c>
      <c r="U104" s="5" t="s">
        <v>266</v>
      </c>
      <c r="V104" s="5" t="s">
        <v>28</v>
      </c>
    </row>
    <row r="105" spans="1:22" s="4" customFormat="1" x14ac:dyDescent="0.25">
      <c r="A105" s="5">
        <v>104</v>
      </c>
      <c r="B105" s="9" t="s">
        <v>274</v>
      </c>
      <c r="C105" s="5" t="s">
        <v>522</v>
      </c>
      <c r="D105" s="5" t="s">
        <v>246</v>
      </c>
      <c r="E105" s="5" t="s">
        <v>25</v>
      </c>
      <c r="F105" s="5" t="s">
        <v>523</v>
      </c>
      <c r="G105" s="5" t="s">
        <v>473</v>
      </c>
      <c r="H105" s="5" t="s">
        <v>524</v>
      </c>
      <c r="I105" s="5" t="s">
        <v>525</v>
      </c>
      <c r="J105" s="5" t="s">
        <v>526</v>
      </c>
      <c r="K105" s="5" t="s">
        <v>527</v>
      </c>
      <c r="L105" s="5" t="s">
        <v>528</v>
      </c>
      <c r="M105" s="5" t="s">
        <v>28</v>
      </c>
      <c r="N105" s="5" t="s">
        <v>340</v>
      </c>
      <c r="O105" s="5" t="s">
        <v>32</v>
      </c>
      <c r="P105" s="5" t="s">
        <v>33</v>
      </c>
      <c r="Q105" s="5" t="s">
        <v>28</v>
      </c>
      <c r="R105" s="5" t="s">
        <v>28</v>
      </c>
      <c r="S105" s="5" t="s">
        <v>28</v>
      </c>
      <c r="T105" s="7">
        <v>60000</v>
      </c>
      <c r="U105" s="5" t="s">
        <v>266</v>
      </c>
      <c r="V105" s="5" t="s">
        <v>28</v>
      </c>
    </row>
    <row r="106" spans="1:22" s="4" customFormat="1" x14ac:dyDescent="0.25">
      <c r="A106" s="5">
        <v>105</v>
      </c>
      <c r="B106" s="9" t="s">
        <v>274</v>
      </c>
      <c r="C106" s="5" t="s">
        <v>529</v>
      </c>
      <c r="D106" s="5" t="s">
        <v>246</v>
      </c>
      <c r="E106" s="5" t="s">
        <v>25</v>
      </c>
      <c r="F106" s="5" t="s">
        <v>530</v>
      </c>
      <c r="G106" s="5" t="s">
        <v>473</v>
      </c>
      <c r="H106" s="5" t="s">
        <v>531</v>
      </c>
      <c r="I106" s="5" t="s">
        <v>532</v>
      </c>
      <c r="J106" s="5" t="s">
        <v>533</v>
      </c>
      <c r="K106" s="5" t="s">
        <v>534</v>
      </c>
      <c r="L106" s="5" t="s">
        <v>535</v>
      </c>
      <c r="M106" s="5" t="s">
        <v>28</v>
      </c>
      <c r="N106" s="5" t="s">
        <v>340</v>
      </c>
      <c r="O106" s="5" t="s">
        <v>32</v>
      </c>
      <c r="P106" s="5" t="s">
        <v>33</v>
      </c>
      <c r="Q106" s="5" t="s">
        <v>28</v>
      </c>
      <c r="R106" s="5" t="s">
        <v>28</v>
      </c>
      <c r="S106" s="5" t="s">
        <v>28</v>
      </c>
      <c r="T106" s="7">
        <v>60000</v>
      </c>
      <c r="U106" s="5" t="s">
        <v>266</v>
      </c>
      <c r="V106" s="5" t="s">
        <v>28</v>
      </c>
    </row>
    <row r="107" spans="1:22" s="4" customFormat="1" x14ac:dyDescent="0.25">
      <c r="A107" s="5">
        <v>106</v>
      </c>
      <c r="B107" s="9" t="s">
        <v>274</v>
      </c>
      <c r="C107" s="5" t="s">
        <v>536</v>
      </c>
      <c r="D107" s="5" t="s">
        <v>246</v>
      </c>
      <c r="E107" s="5" t="s">
        <v>25</v>
      </c>
      <c r="F107" s="5" t="s">
        <v>454</v>
      </c>
      <c r="G107" s="5" t="s">
        <v>473</v>
      </c>
      <c r="H107" s="5" t="s">
        <v>537</v>
      </c>
      <c r="I107" s="5" t="s">
        <v>28</v>
      </c>
      <c r="J107" s="5" t="s">
        <v>538</v>
      </c>
      <c r="K107" s="5" t="s">
        <v>539</v>
      </c>
      <c r="L107" s="5" t="s">
        <v>28</v>
      </c>
      <c r="M107" s="5" t="s">
        <v>28</v>
      </c>
      <c r="N107" s="5" t="s">
        <v>9</v>
      </c>
      <c r="O107" s="5" t="s">
        <v>32</v>
      </c>
      <c r="P107" s="5" t="s">
        <v>33</v>
      </c>
      <c r="Q107" s="5" t="s">
        <v>28</v>
      </c>
      <c r="R107" s="5" t="s">
        <v>28</v>
      </c>
      <c r="S107" s="5" t="s">
        <v>28</v>
      </c>
      <c r="T107" s="7">
        <v>60000</v>
      </c>
      <c r="U107" s="5" t="s">
        <v>266</v>
      </c>
      <c r="V107" s="5" t="s">
        <v>540</v>
      </c>
    </row>
    <row r="108" spans="1:22" s="4" customFormat="1" x14ac:dyDescent="0.25">
      <c r="A108" s="5">
        <v>107</v>
      </c>
      <c r="B108" s="9" t="s">
        <v>274</v>
      </c>
      <c r="C108" s="5" t="s">
        <v>541</v>
      </c>
      <c r="D108" s="5" t="s">
        <v>246</v>
      </c>
      <c r="E108" s="5" t="s">
        <v>25</v>
      </c>
      <c r="F108" s="5" t="s">
        <v>143</v>
      </c>
      <c r="G108" s="5" t="s">
        <v>473</v>
      </c>
      <c r="H108" s="5" t="s">
        <v>542</v>
      </c>
      <c r="I108" s="5" t="s">
        <v>543</v>
      </c>
      <c r="J108" s="5" t="s">
        <v>544</v>
      </c>
      <c r="K108" s="5" t="s">
        <v>28</v>
      </c>
      <c r="L108" s="5" t="s">
        <v>28</v>
      </c>
      <c r="M108" s="5" t="s">
        <v>28</v>
      </c>
      <c r="N108" s="5" t="s">
        <v>340</v>
      </c>
      <c r="O108" s="5" t="s">
        <v>32</v>
      </c>
      <c r="P108" s="5" t="s">
        <v>33</v>
      </c>
      <c r="Q108" s="5" t="s">
        <v>28</v>
      </c>
      <c r="R108" s="5" t="s">
        <v>28</v>
      </c>
      <c r="S108" s="5" t="s">
        <v>28</v>
      </c>
      <c r="T108" s="7">
        <v>60000</v>
      </c>
      <c r="U108" s="5" t="s">
        <v>266</v>
      </c>
      <c r="V108" s="5" t="s">
        <v>28</v>
      </c>
    </row>
    <row r="109" spans="1:22" s="4" customFormat="1" x14ac:dyDescent="0.25">
      <c r="A109" s="5">
        <v>108</v>
      </c>
      <c r="B109" s="9" t="s">
        <v>274</v>
      </c>
      <c r="C109" s="5" t="s">
        <v>545</v>
      </c>
      <c r="D109" s="5" t="s">
        <v>246</v>
      </c>
      <c r="E109" s="5" t="s">
        <v>25</v>
      </c>
      <c r="F109" s="5" t="s">
        <v>449</v>
      </c>
      <c r="G109" s="5" t="s">
        <v>259</v>
      </c>
      <c r="H109" s="5" t="s">
        <v>546</v>
      </c>
      <c r="I109" s="5" t="s">
        <v>547</v>
      </c>
      <c r="J109" s="5" t="s">
        <v>28</v>
      </c>
      <c r="K109" s="5" t="s">
        <v>28</v>
      </c>
      <c r="L109" s="5" t="s">
        <v>28</v>
      </c>
      <c r="M109" s="5" t="s">
        <v>28</v>
      </c>
      <c r="N109" s="5" t="s">
        <v>340</v>
      </c>
      <c r="O109" s="5" t="s">
        <v>32</v>
      </c>
      <c r="P109" s="5" t="s">
        <v>33</v>
      </c>
      <c r="Q109" s="5" t="s">
        <v>28</v>
      </c>
      <c r="R109" s="5" t="s">
        <v>28</v>
      </c>
      <c r="S109" s="5" t="s">
        <v>28</v>
      </c>
      <c r="T109" s="7">
        <v>60000</v>
      </c>
      <c r="U109" s="5" t="s">
        <v>266</v>
      </c>
      <c r="V109" s="5" t="s">
        <v>28</v>
      </c>
    </row>
    <row r="110" spans="1:22" s="4" customFormat="1" x14ac:dyDescent="0.25">
      <c r="A110" s="5">
        <v>109</v>
      </c>
      <c r="B110" s="9" t="s">
        <v>274</v>
      </c>
      <c r="C110" s="5" t="s">
        <v>548</v>
      </c>
      <c r="D110" s="5" t="s">
        <v>246</v>
      </c>
      <c r="E110" s="5" t="s">
        <v>25</v>
      </c>
      <c r="F110" s="5" t="s">
        <v>549</v>
      </c>
      <c r="G110" s="5" t="s">
        <v>473</v>
      </c>
      <c r="H110" s="5" t="s">
        <v>550</v>
      </c>
      <c r="I110" s="5" t="s">
        <v>28</v>
      </c>
      <c r="J110" s="5" t="s">
        <v>28</v>
      </c>
      <c r="K110" s="5" t="s">
        <v>28</v>
      </c>
      <c r="L110" s="5" t="s">
        <v>28</v>
      </c>
      <c r="M110" s="5" t="s">
        <v>28</v>
      </c>
      <c r="N110" s="5" t="s">
        <v>551</v>
      </c>
      <c r="O110" s="5" t="s">
        <v>32</v>
      </c>
      <c r="P110" s="5" t="s">
        <v>33</v>
      </c>
      <c r="Q110" s="5" t="s">
        <v>28</v>
      </c>
      <c r="R110" s="5" t="s">
        <v>28</v>
      </c>
      <c r="S110" s="5" t="s">
        <v>28</v>
      </c>
      <c r="T110" s="7">
        <v>60000</v>
      </c>
      <c r="U110" s="5" t="s">
        <v>266</v>
      </c>
      <c r="V110" s="5" t="s">
        <v>552</v>
      </c>
    </row>
    <row r="111" spans="1:22" s="4" customFormat="1" x14ac:dyDescent="0.25">
      <c r="A111" s="5">
        <v>110</v>
      </c>
      <c r="B111" s="9" t="s">
        <v>274</v>
      </c>
      <c r="C111" s="5" t="s">
        <v>553</v>
      </c>
      <c r="D111" s="5" t="s">
        <v>246</v>
      </c>
      <c r="E111" s="5" t="s">
        <v>25</v>
      </c>
      <c r="F111" s="5" t="s">
        <v>482</v>
      </c>
      <c r="G111" s="5" t="s">
        <v>473</v>
      </c>
      <c r="H111" s="5" t="s">
        <v>554</v>
      </c>
      <c r="I111" s="5" t="s">
        <v>555</v>
      </c>
      <c r="J111" s="5" t="s">
        <v>556</v>
      </c>
      <c r="K111" s="5" t="s">
        <v>28</v>
      </c>
      <c r="L111" s="5" t="s">
        <v>557</v>
      </c>
      <c r="M111" s="5" t="s">
        <v>28</v>
      </c>
      <c r="N111" s="5" t="s">
        <v>340</v>
      </c>
      <c r="O111" s="5" t="s">
        <v>32</v>
      </c>
      <c r="P111" s="5" t="s">
        <v>33</v>
      </c>
      <c r="Q111" s="5" t="s">
        <v>28</v>
      </c>
      <c r="R111" s="5" t="s">
        <v>28</v>
      </c>
      <c r="S111" s="5" t="s">
        <v>28</v>
      </c>
      <c r="T111" s="7">
        <v>60000</v>
      </c>
      <c r="U111" s="5" t="s">
        <v>266</v>
      </c>
      <c r="V111" s="5" t="s">
        <v>28</v>
      </c>
    </row>
    <row r="112" spans="1:22" s="4" customFormat="1" x14ac:dyDescent="0.25">
      <c r="A112" s="5">
        <v>111</v>
      </c>
      <c r="B112" s="9" t="s">
        <v>274</v>
      </c>
      <c r="C112" s="5" t="s">
        <v>558</v>
      </c>
      <c r="D112" s="5" t="s">
        <v>246</v>
      </c>
      <c r="E112" s="5" t="s">
        <v>25</v>
      </c>
      <c r="F112" s="5" t="s">
        <v>559</v>
      </c>
      <c r="G112" s="5" t="s">
        <v>473</v>
      </c>
      <c r="H112" s="5" t="s">
        <v>560</v>
      </c>
      <c r="I112" s="5" t="s">
        <v>561</v>
      </c>
      <c r="J112" s="5" t="s">
        <v>562</v>
      </c>
      <c r="K112" s="5" t="s">
        <v>28</v>
      </c>
      <c r="L112" s="5" t="s">
        <v>563</v>
      </c>
      <c r="M112" s="5" t="s">
        <v>28</v>
      </c>
      <c r="N112" s="5" t="s">
        <v>340</v>
      </c>
      <c r="O112" s="5" t="s">
        <v>32</v>
      </c>
      <c r="P112" s="5" t="s">
        <v>33</v>
      </c>
      <c r="Q112" s="5" t="s">
        <v>28</v>
      </c>
      <c r="R112" s="5" t="s">
        <v>28</v>
      </c>
      <c r="S112" s="5" t="s">
        <v>28</v>
      </c>
      <c r="T112" s="7">
        <v>60000</v>
      </c>
      <c r="U112" s="5" t="s">
        <v>266</v>
      </c>
      <c r="V112" s="5" t="s">
        <v>28</v>
      </c>
    </row>
    <row r="113" spans="1:22" s="4" customFormat="1" x14ac:dyDescent="0.25">
      <c r="A113" s="5">
        <v>112</v>
      </c>
      <c r="B113" s="9" t="s">
        <v>274</v>
      </c>
      <c r="C113" s="5" t="s">
        <v>564</v>
      </c>
      <c r="D113" s="5" t="s">
        <v>24</v>
      </c>
      <c r="E113" s="5" t="s">
        <v>25</v>
      </c>
      <c r="F113" s="5" t="s">
        <v>26</v>
      </c>
      <c r="G113" s="5" t="s">
        <v>565</v>
      </c>
      <c r="H113" s="5" t="s">
        <v>28</v>
      </c>
      <c r="I113" s="5" t="s">
        <v>28</v>
      </c>
      <c r="J113" s="5" t="s">
        <v>28</v>
      </c>
      <c r="K113" s="5" t="s">
        <v>28</v>
      </c>
      <c r="L113" s="5" t="s">
        <v>28</v>
      </c>
      <c r="M113" s="5" t="s">
        <v>28</v>
      </c>
      <c r="N113" s="5" t="s">
        <v>551</v>
      </c>
      <c r="O113" s="5" t="s">
        <v>32</v>
      </c>
      <c r="P113" s="5" t="s">
        <v>33</v>
      </c>
      <c r="Q113" s="5" t="s">
        <v>28</v>
      </c>
      <c r="R113" s="5" t="s">
        <v>28</v>
      </c>
      <c r="S113" s="5" t="s">
        <v>28</v>
      </c>
      <c r="T113" s="7">
        <v>50000</v>
      </c>
      <c r="U113" s="5" t="s">
        <v>303</v>
      </c>
      <c r="V113" s="5" t="s">
        <v>566</v>
      </c>
    </row>
  </sheetData>
  <autoFilter ref="A1:V113"/>
  <dataValidations count="2">
    <dataValidation type="list" allowBlank="1" sqref="B2:B313">
      <formula1>"A,B,C"</formula1>
    </dataValidation>
    <dataValidation type="list" allowBlank="1" sqref="P2:P313">
      <formula1>"NEW,В РАБОТЕ,ОТВЕТИЛ,ДЕМО,ПИЛОТ,СЧЁТ,ПЛАТИТ,ЗАМОРОЖЕН,ОТКАЗ"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14" customWidth="1"/>
    <col min="2" max="2" width="40" customWidth="1"/>
    <col min="3" max="3" width="60" customWidth="1"/>
    <col min="4" max="4" width="24" customWidth="1"/>
    <col min="5" max="5" width="26" customWidth="1"/>
  </cols>
  <sheetData>
    <row r="1" ht="30" customHeight="1" spans="1:5" s="2" customFormat="1" x14ac:dyDescent="0.25">
      <c r="A1" s="2" t="s">
        <v>15</v>
      </c>
      <c r="B1" s="2" t="s">
        <v>567</v>
      </c>
      <c r="C1" s="2" t="s">
        <v>568</v>
      </c>
      <c r="D1" s="2" t="s">
        <v>569</v>
      </c>
      <c r="E1" s="2" t="s">
        <v>570</v>
      </c>
    </row>
    <row r="2" spans="1:5" s="4" customFormat="1" x14ac:dyDescent="0.25">
      <c r="A2" s="5" t="s">
        <v>33</v>
      </c>
      <c r="B2" s="5" t="s">
        <v>571</v>
      </c>
      <c r="C2" s="5" t="s">
        <v>572</v>
      </c>
      <c r="D2" s="5" t="s">
        <v>573</v>
      </c>
      <c r="E2" s="5" t="s">
        <v>574</v>
      </c>
    </row>
    <row r="3" spans="1:5" s="4" customFormat="1" x14ac:dyDescent="0.25">
      <c r="A3" s="5" t="s">
        <v>575</v>
      </c>
      <c r="B3" s="5" t="s">
        <v>576</v>
      </c>
      <c r="C3" s="5" t="s">
        <v>577</v>
      </c>
      <c r="D3" s="5" t="s">
        <v>578</v>
      </c>
      <c r="E3" s="5" t="s">
        <v>579</v>
      </c>
    </row>
    <row r="4" spans="1:5" s="4" customFormat="1" x14ac:dyDescent="0.25">
      <c r="A4" s="5" t="s">
        <v>580</v>
      </c>
      <c r="B4" s="5" t="s">
        <v>581</v>
      </c>
      <c r="C4" s="5" t="s">
        <v>582</v>
      </c>
      <c r="D4" s="5" t="s">
        <v>583</v>
      </c>
      <c r="E4" s="5" t="s">
        <v>584</v>
      </c>
    </row>
    <row r="5" spans="1:5" s="4" customFormat="1" x14ac:dyDescent="0.25">
      <c r="A5" s="5" t="s">
        <v>585</v>
      </c>
      <c r="B5" s="5" t="s">
        <v>586</v>
      </c>
      <c r="C5" s="5" t="s">
        <v>587</v>
      </c>
      <c r="D5" s="5" t="s">
        <v>588</v>
      </c>
      <c r="E5" s="5" t="s">
        <v>589</v>
      </c>
    </row>
    <row r="6" spans="1:5" s="4" customFormat="1" x14ac:dyDescent="0.25">
      <c r="A6" s="5" t="s">
        <v>590</v>
      </c>
      <c r="B6" s="5" t="s">
        <v>591</v>
      </c>
      <c r="C6" s="5" t="s">
        <v>592</v>
      </c>
      <c r="D6" s="5" t="s">
        <v>593</v>
      </c>
      <c r="E6" s="5" t="s">
        <v>594</v>
      </c>
    </row>
    <row r="7" spans="1:5" s="4" customFormat="1" x14ac:dyDescent="0.25">
      <c r="A7" s="5" t="s">
        <v>595</v>
      </c>
      <c r="B7" s="5" t="s">
        <v>596</v>
      </c>
      <c r="C7" s="5" t="s">
        <v>597</v>
      </c>
      <c r="D7" s="5" t="s">
        <v>598</v>
      </c>
      <c r="E7" s="5" t="s">
        <v>599</v>
      </c>
    </row>
    <row r="8" spans="1:5" s="4" customFormat="1" x14ac:dyDescent="0.25">
      <c r="A8" s="5" t="s">
        <v>600</v>
      </c>
      <c r="B8" s="5" t="s">
        <v>601</v>
      </c>
      <c r="C8" s="5" t="s">
        <v>602</v>
      </c>
      <c r="D8" s="5" t="s">
        <v>603</v>
      </c>
      <c r="E8" s="5" t="s">
        <v>604</v>
      </c>
    </row>
    <row r="9" spans="1:5" s="4" customFormat="1" x14ac:dyDescent="0.25">
      <c r="A9" s="5" t="s">
        <v>605</v>
      </c>
      <c r="B9" s="5" t="s">
        <v>606</v>
      </c>
      <c r="C9" s="5" t="s">
        <v>607</v>
      </c>
      <c r="D9" s="5" t="s">
        <v>608</v>
      </c>
      <c r="E9" s="5" t="s">
        <v>609</v>
      </c>
    </row>
    <row r="10" spans="1:5" s="4" customFormat="1" x14ac:dyDescent="0.25">
      <c r="A10" s="5" t="s">
        <v>610</v>
      </c>
      <c r="B10" s="5" t="s">
        <v>611</v>
      </c>
      <c r="C10" s="5" t="s">
        <v>612</v>
      </c>
      <c r="D10" s="5" t="s">
        <v>303</v>
      </c>
      <c r="E10" s="5" t="s">
        <v>303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14" customWidth="1"/>
    <col min="2" max="2" width="30" customWidth="1"/>
    <col min="3" max="3" width="18" customWidth="1"/>
    <col min="4" max="4" width="110" customWidth="1"/>
  </cols>
  <sheetData>
    <row r="1" ht="30" customHeight="1" spans="1:4" s="2" customFormat="1" x14ac:dyDescent="0.25">
      <c r="A1" s="2" t="s">
        <v>613</v>
      </c>
      <c r="B1" s="2" t="s">
        <v>614</v>
      </c>
      <c r="C1" s="2" t="s">
        <v>615</v>
      </c>
      <c r="D1" s="2" t="s">
        <v>616</v>
      </c>
    </row>
    <row r="2" spans="1:4" s="4" customFormat="1" x14ac:dyDescent="0.25">
      <c r="A2" s="5" t="s">
        <v>32</v>
      </c>
      <c r="B2" s="5" t="s">
        <v>617</v>
      </c>
      <c r="C2" s="5" t="s">
        <v>618</v>
      </c>
      <c r="D2" s="5" t="s">
        <v>619</v>
      </c>
    </row>
    <row r="3" spans="1:4" s="4" customFormat="1" x14ac:dyDescent="0.25">
      <c r="A3" s="5" t="s">
        <v>620</v>
      </c>
      <c r="B3" s="5" t="s">
        <v>621</v>
      </c>
      <c r="C3" s="5" t="s">
        <v>622</v>
      </c>
      <c r="D3" s="5" t="s">
        <v>623</v>
      </c>
    </row>
    <row r="4" spans="1:4" s="4" customFormat="1" x14ac:dyDescent="0.25">
      <c r="A4" s="5" t="s">
        <v>624</v>
      </c>
      <c r="B4" s="5" t="s">
        <v>625</v>
      </c>
      <c r="C4" s="5" t="s">
        <v>622</v>
      </c>
      <c r="D4" s="5" t="s">
        <v>626</v>
      </c>
    </row>
    <row r="5" spans="1:4" s="4" customFormat="1" x14ac:dyDescent="0.25">
      <c r="A5" s="5" t="s">
        <v>627</v>
      </c>
      <c r="B5" s="5" t="s">
        <v>628</v>
      </c>
      <c r="C5" s="5" t="s">
        <v>622</v>
      </c>
      <c r="D5" s="5" t="s">
        <v>629</v>
      </c>
    </row>
    <row r="6" spans="1:4" s="4" customFormat="1" x14ac:dyDescent="0.25">
      <c r="A6" s="5" t="s">
        <v>139</v>
      </c>
      <c r="B6" s="5" t="s">
        <v>630</v>
      </c>
      <c r="C6" s="5" t="s">
        <v>631</v>
      </c>
      <c r="D6" s="5" t="s">
        <v>632</v>
      </c>
    </row>
    <row r="7" spans="1:4" s="4" customFormat="1" x14ac:dyDescent="0.25">
      <c r="A7" s="5" t="s">
        <v>116</v>
      </c>
      <c r="B7" s="5" t="s">
        <v>633</v>
      </c>
      <c r="C7" s="5" t="s">
        <v>634</v>
      </c>
      <c r="D7" s="5" t="s">
        <v>635</v>
      </c>
    </row>
    <row r="8" spans="1:4" s="4" customFormat="1" x14ac:dyDescent="0.25">
      <c r="A8" s="5" t="s">
        <v>205</v>
      </c>
      <c r="B8" s="5" t="s">
        <v>636</v>
      </c>
      <c r="C8" s="5" t="s">
        <v>637</v>
      </c>
      <c r="D8" s="5" t="s">
        <v>638</v>
      </c>
    </row>
    <row r="9" spans="1:4" s="4" customFormat="1" x14ac:dyDescent="0.25">
      <c r="A9" s="5" t="s">
        <v>341</v>
      </c>
      <c r="B9" s="5" t="s">
        <v>639</v>
      </c>
      <c r="C9" s="5" t="s">
        <v>640</v>
      </c>
      <c r="D9" s="5" t="s">
        <v>641</v>
      </c>
    </row>
    <row r="10" spans="1:4" s="4" customFormat="1" x14ac:dyDescent="0.25">
      <c r="A10" s="5" t="s">
        <v>371</v>
      </c>
      <c r="B10" s="5" t="s">
        <v>642</v>
      </c>
      <c r="C10" s="5" t="s">
        <v>643</v>
      </c>
      <c r="D10" s="5" t="s">
        <v>644</v>
      </c>
    </row>
    <row r="11" spans="1:4" s="4" customFormat="1" x14ac:dyDescent="0.25">
      <c r="A11" s="5" t="s">
        <v>380</v>
      </c>
      <c r="B11" s="5" t="s">
        <v>645</v>
      </c>
      <c r="C11" s="5" t="s">
        <v>384</v>
      </c>
      <c r="D11" s="5" t="s">
        <v>646</v>
      </c>
    </row>
    <row r="12" spans="1:4" s="4" customFormat="1" x14ac:dyDescent="0.25">
      <c r="A12" s="5" t="s">
        <v>422</v>
      </c>
      <c r="B12" s="5" t="s">
        <v>647</v>
      </c>
      <c r="C12" s="5" t="s">
        <v>12</v>
      </c>
      <c r="D12" s="5" t="s">
        <v>648</v>
      </c>
    </row>
    <row r="13" spans="1:4" s="4" customFormat="1" x14ac:dyDescent="0.25">
      <c r="A13" s="5" t="s">
        <v>649</v>
      </c>
      <c r="B13" s="5" t="s">
        <v>650</v>
      </c>
      <c r="C13" s="5" t="s">
        <v>8</v>
      </c>
      <c r="D13" s="5" t="s">
        <v>651</v>
      </c>
    </row>
    <row r="14" spans="1:4" s="4" customFormat="1" x14ac:dyDescent="0.25">
      <c r="A14" s="5" t="s">
        <v>652</v>
      </c>
      <c r="B14" s="5" t="s">
        <v>653</v>
      </c>
      <c r="C14" s="5" t="s">
        <v>654</v>
      </c>
      <c r="D14" s="5" t="s">
        <v>655</v>
      </c>
    </row>
    <row r="15" spans="1:4" s="4" customFormat="1" x14ac:dyDescent="0.25">
      <c r="A15" s="5" t="s">
        <v>656</v>
      </c>
      <c r="B15" s="5" t="s">
        <v>657</v>
      </c>
      <c r="C15" s="5" t="s">
        <v>654</v>
      </c>
      <c r="D15" s="5" t="s">
        <v>658</v>
      </c>
    </row>
    <row r="16" spans="1:4" s="4" customFormat="1" x14ac:dyDescent="0.25">
      <c r="A16" s="5" t="s">
        <v>659</v>
      </c>
      <c r="B16" s="5" t="s">
        <v>660</v>
      </c>
      <c r="C16" s="5" t="s">
        <v>654</v>
      </c>
      <c r="D16" s="5" t="s">
        <v>661</v>
      </c>
    </row>
    <row r="17" spans="1:4" s="4" customFormat="1" x14ac:dyDescent="0.25">
      <c r="A17" s="5" t="s">
        <v>662</v>
      </c>
      <c r="B17" s="5" t="s">
        <v>663</v>
      </c>
      <c r="C17" s="5" t="s">
        <v>654</v>
      </c>
      <c r="D17" s="5" t="s">
        <v>664</v>
      </c>
    </row>
    <row r="18" spans="1:4" s="4" customFormat="1" x14ac:dyDescent="0.25">
      <c r="A18" s="5" t="s">
        <v>665</v>
      </c>
      <c r="B18" s="5" t="s">
        <v>666</v>
      </c>
      <c r="C18" s="5" t="s">
        <v>654</v>
      </c>
      <c r="D18" s="5" t="s">
        <v>667</v>
      </c>
    </row>
    <row r="19" spans="1:4" s="4" customFormat="1" x14ac:dyDescent="0.25">
      <c r="A19" s="5" t="s">
        <v>668</v>
      </c>
      <c r="B19" s="5" t="s">
        <v>669</v>
      </c>
      <c r="C19" s="5" t="s">
        <v>163</v>
      </c>
      <c r="D19" s="5" t="s">
        <v>670</v>
      </c>
    </row>
    <row r="20" spans="1:4" s="4" customFormat="1" x14ac:dyDescent="0.25">
      <c r="A20" s="5" t="s">
        <v>671</v>
      </c>
      <c r="B20" s="5" t="s">
        <v>672</v>
      </c>
      <c r="C20" s="5" t="s">
        <v>673</v>
      </c>
      <c r="D20" s="5" t="s">
        <v>674</v>
      </c>
    </row>
    <row r="21" spans="1:4" s="4" customFormat="1" x14ac:dyDescent="0.25">
      <c r="A21" s="5" t="s">
        <v>675</v>
      </c>
      <c r="B21" s="5" t="s">
        <v>676</v>
      </c>
      <c r="C21" s="5" t="s">
        <v>163</v>
      </c>
      <c r="D21" s="5" t="s">
        <v>677</v>
      </c>
    </row>
    <row r="22" spans="1:4" s="4" customFormat="1" x14ac:dyDescent="0.25">
      <c r="A22" s="5" t="s">
        <v>678</v>
      </c>
      <c r="B22" s="5" t="s">
        <v>679</v>
      </c>
      <c r="C22" s="5" t="s">
        <v>163</v>
      </c>
      <c r="D22" s="5" t="s">
        <v>680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12" customWidth="1"/>
    <col min="2" max="2" width="10" customWidth="1"/>
    <col min="3" max="3" width="66" customWidth="1"/>
    <col min="4" max="4" width="48" customWidth="1"/>
    <col min="5" max="5" width="12" customWidth="1"/>
  </cols>
  <sheetData>
    <row r="1" ht="30" customHeight="1" spans="1:5" s="2" customFormat="1" x14ac:dyDescent="0.25">
      <c r="A1" s="2" t="s">
        <v>681</v>
      </c>
      <c r="B1" s="2" t="s">
        <v>682</v>
      </c>
      <c r="C1" s="2" t="s">
        <v>683</v>
      </c>
      <c r="D1" s="2" t="s">
        <v>684</v>
      </c>
      <c r="E1" s="2" t="s">
        <v>685</v>
      </c>
    </row>
    <row r="2" spans="1:5" s="4" customFormat="1" x14ac:dyDescent="0.25">
      <c r="A2" s="5" t="s">
        <v>686</v>
      </c>
      <c r="B2" s="5" t="s">
        <v>686</v>
      </c>
      <c r="C2" s="5" t="s">
        <v>687</v>
      </c>
      <c r="D2" s="5" t="s">
        <v>688</v>
      </c>
      <c r="E2" s="5" t="s">
        <v>28</v>
      </c>
    </row>
    <row r="3" spans="1:5" s="4" customFormat="1" x14ac:dyDescent="0.25">
      <c r="A3" s="5" t="s">
        <v>686</v>
      </c>
      <c r="B3" s="5" t="s">
        <v>686</v>
      </c>
      <c r="C3" s="5" t="s">
        <v>689</v>
      </c>
      <c r="D3" s="5" t="s">
        <v>690</v>
      </c>
      <c r="E3" s="5" t="s">
        <v>28</v>
      </c>
    </row>
    <row r="4" spans="1:5" s="4" customFormat="1" x14ac:dyDescent="0.25">
      <c r="A4" s="5" t="s">
        <v>686</v>
      </c>
      <c r="B4" s="5" t="s">
        <v>691</v>
      </c>
      <c r="C4" s="5" t="s">
        <v>692</v>
      </c>
      <c r="D4" s="5" t="s">
        <v>693</v>
      </c>
      <c r="E4" s="5" t="s">
        <v>28</v>
      </c>
    </row>
    <row r="5" spans="1:5" s="4" customFormat="1" x14ac:dyDescent="0.25">
      <c r="A5" s="5" t="s">
        <v>686</v>
      </c>
      <c r="B5" s="5" t="s">
        <v>691</v>
      </c>
      <c r="C5" s="5" t="s">
        <v>694</v>
      </c>
      <c r="D5" s="5" t="s">
        <v>695</v>
      </c>
      <c r="E5" s="5" t="s">
        <v>28</v>
      </c>
    </row>
    <row r="6" spans="1:5" s="4" customFormat="1" x14ac:dyDescent="0.25">
      <c r="A6" s="5" t="s">
        <v>686</v>
      </c>
      <c r="B6" s="5" t="s">
        <v>696</v>
      </c>
      <c r="C6" s="5" t="s">
        <v>697</v>
      </c>
      <c r="D6" s="5" t="s">
        <v>698</v>
      </c>
      <c r="E6" s="5" t="s">
        <v>28</v>
      </c>
    </row>
    <row r="7" spans="1:5" s="4" customFormat="1" x14ac:dyDescent="0.25">
      <c r="A7" s="5" t="s">
        <v>686</v>
      </c>
      <c r="B7" s="5" t="s">
        <v>699</v>
      </c>
      <c r="C7" s="5" t="s">
        <v>700</v>
      </c>
      <c r="D7" s="5" t="s">
        <v>701</v>
      </c>
      <c r="E7" s="5" t="s">
        <v>28</v>
      </c>
    </row>
    <row r="8" spans="1:5" s="4" customFormat="1" x14ac:dyDescent="0.25">
      <c r="A8" s="5" t="s">
        <v>686</v>
      </c>
      <c r="B8" s="5" t="s">
        <v>702</v>
      </c>
      <c r="C8" s="5" t="s">
        <v>703</v>
      </c>
      <c r="D8" s="5" t="s">
        <v>704</v>
      </c>
      <c r="E8" s="5" t="s">
        <v>28</v>
      </c>
    </row>
    <row r="9" spans="1:5" s="4" customFormat="1" x14ac:dyDescent="0.25">
      <c r="A9" s="5" t="s">
        <v>686</v>
      </c>
      <c r="B9" s="5" t="s">
        <v>705</v>
      </c>
      <c r="C9" s="5" t="s">
        <v>706</v>
      </c>
      <c r="D9" s="5" t="s">
        <v>707</v>
      </c>
      <c r="E9" s="5" t="s">
        <v>28</v>
      </c>
    </row>
    <row r="10" spans="1:5" s="4" customFormat="1" x14ac:dyDescent="0.25">
      <c r="A10" s="5" t="s">
        <v>691</v>
      </c>
      <c r="B10" s="5" t="s">
        <v>708</v>
      </c>
      <c r="C10" s="5" t="s">
        <v>709</v>
      </c>
      <c r="D10" s="5" t="s">
        <v>710</v>
      </c>
      <c r="E10" s="5" t="s">
        <v>28</v>
      </c>
    </row>
    <row r="11" spans="1:5" s="4" customFormat="1" x14ac:dyDescent="0.25">
      <c r="A11" s="5" t="s">
        <v>691</v>
      </c>
      <c r="B11" s="5" t="s">
        <v>711</v>
      </c>
      <c r="C11" s="5" t="s">
        <v>712</v>
      </c>
      <c r="D11" s="5" t="s">
        <v>713</v>
      </c>
      <c r="E11" s="5" t="s">
        <v>28</v>
      </c>
    </row>
    <row r="12" spans="1:5" s="4" customFormat="1" x14ac:dyDescent="0.25">
      <c r="A12" s="5" t="s">
        <v>691</v>
      </c>
      <c r="B12" s="5" t="s">
        <v>714</v>
      </c>
      <c r="C12" s="5" t="s">
        <v>715</v>
      </c>
      <c r="D12" s="5" t="s">
        <v>716</v>
      </c>
      <c r="E12" s="5" t="s">
        <v>28</v>
      </c>
    </row>
    <row r="13" spans="1:5" s="4" customFormat="1" x14ac:dyDescent="0.25">
      <c r="A13" s="5" t="s">
        <v>691</v>
      </c>
      <c r="B13" s="5" t="s">
        <v>717</v>
      </c>
      <c r="C13" s="5" t="s">
        <v>718</v>
      </c>
      <c r="D13" s="5" t="s">
        <v>719</v>
      </c>
      <c r="E13" s="5" t="s">
        <v>28</v>
      </c>
    </row>
    <row r="14" spans="1:5" s="4" customFormat="1" x14ac:dyDescent="0.25">
      <c r="A14" s="5" t="s">
        <v>696</v>
      </c>
      <c r="B14" s="5" t="s">
        <v>720</v>
      </c>
      <c r="C14" s="5" t="s">
        <v>721</v>
      </c>
      <c r="D14" s="5" t="s">
        <v>722</v>
      </c>
      <c r="E14" s="5" t="s">
        <v>28</v>
      </c>
    </row>
    <row r="15" spans="1:5" s="4" customFormat="1" x14ac:dyDescent="0.25">
      <c r="A15" s="5" t="s">
        <v>696</v>
      </c>
      <c r="B15" s="5" t="s">
        <v>720</v>
      </c>
      <c r="C15" s="5" t="s">
        <v>723</v>
      </c>
      <c r="D15" s="5" t="s">
        <v>724</v>
      </c>
      <c r="E15" s="5" t="s">
        <v>28</v>
      </c>
    </row>
    <row r="16" spans="1:5" s="4" customFormat="1" x14ac:dyDescent="0.25">
      <c r="A16" s="5" t="s">
        <v>696</v>
      </c>
      <c r="B16" s="5" t="s">
        <v>725</v>
      </c>
      <c r="C16" s="5" t="s">
        <v>726</v>
      </c>
      <c r="D16" s="5" t="s">
        <v>727</v>
      </c>
      <c r="E16" s="5" t="s">
        <v>28</v>
      </c>
    </row>
    <row r="17" spans="1:5" s="4" customFormat="1" x14ac:dyDescent="0.25">
      <c r="A17" s="5" t="s">
        <v>699</v>
      </c>
      <c r="B17" s="5" t="s">
        <v>728</v>
      </c>
      <c r="C17" s="5" t="s">
        <v>729</v>
      </c>
      <c r="D17" s="5" t="s">
        <v>730</v>
      </c>
      <c r="E17" s="5" t="s">
        <v>28</v>
      </c>
    </row>
    <row r="18" spans="1:5" s="4" customFormat="1" x14ac:dyDescent="0.25">
      <c r="A18" s="5" t="s">
        <v>699</v>
      </c>
      <c r="B18" s="5" t="s">
        <v>731</v>
      </c>
      <c r="C18" s="5" t="s">
        <v>732</v>
      </c>
      <c r="D18" s="5" t="s">
        <v>733</v>
      </c>
      <c r="E18" s="5" t="s">
        <v>28</v>
      </c>
    </row>
    <row r="19" spans="1:5" s="4" customFormat="1" x14ac:dyDescent="0.25">
      <c r="A19" s="5" t="s">
        <v>699</v>
      </c>
      <c r="B19" s="5" t="s">
        <v>734</v>
      </c>
      <c r="C19" s="5" t="s">
        <v>735</v>
      </c>
      <c r="D19" s="5" t="s">
        <v>736</v>
      </c>
      <c r="E19" s="5" t="s">
        <v>28</v>
      </c>
    </row>
    <row r="20" spans="1:5" s="4" customFormat="1" x14ac:dyDescent="0.25">
      <c r="A20" s="5" t="s">
        <v>699</v>
      </c>
      <c r="B20" s="5" t="s">
        <v>737</v>
      </c>
      <c r="C20" s="5" t="s">
        <v>738</v>
      </c>
      <c r="D20" s="5" t="s">
        <v>739</v>
      </c>
      <c r="E20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30" customWidth="1"/>
    <col min="2" max="2" width="66" customWidth="1"/>
    <col min="3" max="3" width="30" customWidth="1"/>
    <col min="4" max="4" width="18" customWidth="1"/>
    <col min="5" max="5" width="20" customWidth="1"/>
  </cols>
  <sheetData>
    <row r="1" ht="30" customHeight="1" spans="1:5" s="2" customFormat="1" x14ac:dyDescent="0.25">
      <c r="A1" s="2" t="s">
        <v>740</v>
      </c>
      <c r="B1" s="2" t="s">
        <v>741</v>
      </c>
      <c r="C1" s="2" t="s">
        <v>742</v>
      </c>
      <c r="D1" s="2" t="s">
        <v>743</v>
      </c>
      <c r="E1" s="2" t="s">
        <v>744</v>
      </c>
    </row>
    <row r="2" spans="1:5" s="4" customFormat="1" x14ac:dyDescent="0.25">
      <c r="A2" s="5" t="s">
        <v>745</v>
      </c>
      <c r="B2" s="5" t="s">
        <v>746</v>
      </c>
      <c r="C2" s="5" t="s">
        <v>747</v>
      </c>
      <c r="D2" s="5" t="s">
        <v>748</v>
      </c>
      <c r="E2" s="5" t="s">
        <v>749</v>
      </c>
    </row>
    <row r="3" spans="1:5" s="4" customFormat="1" x14ac:dyDescent="0.25">
      <c r="A3" s="5" t="s">
        <v>750</v>
      </c>
      <c r="B3" s="5" t="s">
        <v>751</v>
      </c>
      <c r="C3" s="5" t="s">
        <v>752</v>
      </c>
      <c r="D3" s="5" t="s">
        <v>753</v>
      </c>
      <c r="E3" s="5" t="s">
        <v>754</v>
      </c>
    </row>
    <row r="4" spans="1:5" s="4" customFormat="1" x14ac:dyDescent="0.25">
      <c r="A4" s="5" t="s">
        <v>755</v>
      </c>
      <c r="B4" s="5" t="s">
        <v>756</v>
      </c>
      <c r="C4" s="5" t="s">
        <v>757</v>
      </c>
      <c r="D4" s="5" t="s">
        <v>758</v>
      </c>
      <c r="E4" s="5" t="s">
        <v>759</v>
      </c>
    </row>
    <row r="5" spans="1:5" s="4" customFormat="1" x14ac:dyDescent="0.25">
      <c r="A5" s="5" t="s">
        <v>760</v>
      </c>
      <c r="B5" s="5" t="s">
        <v>761</v>
      </c>
      <c r="C5" s="5" t="s">
        <v>762</v>
      </c>
      <c r="D5" s="5" t="s">
        <v>763</v>
      </c>
      <c r="E5" s="5" t="s">
        <v>764</v>
      </c>
    </row>
    <row r="6" spans="1:5" s="4" customFormat="1" x14ac:dyDescent="0.25">
      <c r="A6" s="5" t="s">
        <v>765</v>
      </c>
      <c r="B6" s="5" t="s">
        <v>766</v>
      </c>
      <c r="C6" s="5" t="s">
        <v>767</v>
      </c>
      <c r="D6" s="5" t="s">
        <v>768</v>
      </c>
      <c r="E6" s="5" t="s">
        <v>769</v>
      </c>
    </row>
    <row r="7" spans="1:5" s="4" customFormat="1" x14ac:dyDescent="0.25">
      <c r="A7" s="5" t="s">
        <v>770</v>
      </c>
      <c r="B7" s="5" t="s">
        <v>771</v>
      </c>
      <c r="C7" s="5" t="s">
        <v>772</v>
      </c>
      <c r="D7" s="5" t="s">
        <v>773</v>
      </c>
      <c r="E7" s="5" t="s">
        <v>759</v>
      </c>
    </row>
    <row r="8" spans="1:5" s="4" customFormat="1" x14ac:dyDescent="0.25">
      <c r="A8" s="5" t="s">
        <v>774</v>
      </c>
      <c r="B8" s="5" t="s">
        <v>775</v>
      </c>
      <c r="C8" s="5" t="s">
        <v>776</v>
      </c>
      <c r="D8" s="5" t="s">
        <v>777</v>
      </c>
      <c r="E8" s="5" t="s">
        <v>778</v>
      </c>
    </row>
    <row r="10" spans="1:5" s="4" customFormat="1" x14ac:dyDescent="0.25">
      <c r="A10" s="5" t="s">
        <v>779</v>
      </c>
      <c r="B10" s="5" t="s">
        <v>780</v>
      </c>
      <c r="C10" s="5" t="s">
        <v>28</v>
      </c>
      <c r="D10" s="5" t="s">
        <v>28</v>
      </c>
      <c r="E10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24" customWidth="1"/>
    <col min="2" max="2" width="50" customWidth="1"/>
    <col min="3" max="3" width="90" customWidth="1"/>
    <col min="4" max="4" width="20" customWidth="1"/>
  </cols>
  <sheetData>
    <row r="1" ht="30" customHeight="1" spans="1:4" s="2" customFormat="1" x14ac:dyDescent="0.25">
      <c r="A1" s="2" t="s">
        <v>781</v>
      </c>
      <c r="B1" s="2" t="s">
        <v>782</v>
      </c>
      <c r="C1" s="2" t="s">
        <v>783</v>
      </c>
      <c r="D1" s="2" t="s">
        <v>784</v>
      </c>
    </row>
    <row r="2" spans="1:4" s="4" customFormat="1" x14ac:dyDescent="0.25">
      <c r="A2" s="5" t="s">
        <v>785</v>
      </c>
      <c r="B2" s="5" t="s">
        <v>786</v>
      </c>
      <c r="C2" s="5" t="s">
        <v>787</v>
      </c>
      <c r="D2" s="5" t="s">
        <v>788</v>
      </c>
    </row>
    <row r="3" spans="1:4" s="4" customFormat="1" x14ac:dyDescent="0.25">
      <c r="A3" s="5" t="s">
        <v>789</v>
      </c>
      <c r="B3" s="5" t="s">
        <v>790</v>
      </c>
      <c r="C3" s="5" t="s">
        <v>791</v>
      </c>
      <c r="D3" s="5" t="s">
        <v>792</v>
      </c>
    </row>
    <row r="4" spans="1:4" s="4" customFormat="1" x14ac:dyDescent="0.25">
      <c r="A4" s="5" t="s">
        <v>793</v>
      </c>
      <c r="B4" s="5" t="s">
        <v>794</v>
      </c>
      <c r="C4" s="5" t="s">
        <v>795</v>
      </c>
      <c r="D4" s="5" t="s">
        <v>796</v>
      </c>
    </row>
    <row r="5" spans="1:4" s="4" customFormat="1" x14ac:dyDescent="0.25">
      <c r="A5" s="5" t="s">
        <v>797</v>
      </c>
      <c r="B5" s="5" t="s">
        <v>798</v>
      </c>
      <c r="C5" s="5" t="s">
        <v>799</v>
      </c>
      <c r="D5" s="5" t="s">
        <v>800</v>
      </c>
    </row>
    <row r="6" spans="1:4" s="4" customFormat="1" x14ac:dyDescent="0.25">
      <c r="A6" s="5" t="s">
        <v>801</v>
      </c>
      <c r="B6" s="5" t="s">
        <v>802</v>
      </c>
      <c r="C6" s="5" t="s">
        <v>803</v>
      </c>
      <c r="D6" s="5" t="s">
        <v>796</v>
      </c>
    </row>
    <row r="7" spans="1:4" s="4" customFormat="1" x14ac:dyDescent="0.25">
      <c r="A7" s="5" t="s">
        <v>804</v>
      </c>
      <c r="B7" s="5" t="s">
        <v>805</v>
      </c>
      <c r="C7" s="5" t="s">
        <v>806</v>
      </c>
      <c r="D7" s="5" t="s">
        <v>796</v>
      </c>
    </row>
    <row r="8" spans="1:4" s="4" customFormat="1" x14ac:dyDescent="0.25">
      <c r="A8" s="5" t="s">
        <v>807</v>
      </c>
      <c r="B8" s="5" t="s">
        <v>808</v>
      </c>
      <c r="C8" s="5" t="s">
        <v>809</v>
      </c>
      <c r="D8" s="5" t="s">
        <v>810</v>
      </c>
    </row>
    <row r="9" spans="1:4" s="4" customFormat="1" x14ac:dyDescent="0.25">
      <c r="A9" s="5" t="s">
        <v>388</v>
      </c>
      <c r="B9" s="5" t="s">
        <v>811</v>
      </c>
      <c r="C9" s="5" t="s">
        <v>812</v>
      </c>
      <c r="D9" s="5" t="s">
        <v>813</v>
      </c>
    </row>
    <row r="10" spans="1:4" s="4" customFormat="1" x14ac:dyDescent="0.25">
      <c r="A10" s="5" t="s">
        <v>814</v>
      </c>
      <c r="B10" s="5" t="s">
        <v>815</v>
      </c>
      <c r="C10" s="5" t="s">
        <v>816</v>
      </c>
      <c r="D10" s="5" t="s">
        <v>817</v>
      </c>
    </row>
    <row r="11" spans="1:4" s="4" customFormat="1" x14ac:dyDescent="0.25">
      <c r="A11" s="5" t="s">
        <v>818</v>
      </c>
      <c r="B11" s="5" t="s">
        <v>819</v>
      </c>
      <c r="C11" s="5" t="s">
        <v>820</v>
      </c>
      <c r="D11" s="5" t="s">
        <v>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34" customWidth="1"/>
    <col min="2" max="2" width="30" customWidth="1"/>
    <col min="3" max="3" width="18" customWidth="1"/>
    <col min="4" max="4" width="60" customWidth="1"/>
  </cols>
  <sheetData>
    <row r="1" ht="30" customHeight="1" spans="1:4" s="2" customFormat="1" x14ac:dyDescent="0.25">
      <c r="A1" s="2" t="s">
        <v>821</v>
      </c>
      <c r="B1" s="2" t="s">
        <v>822</v>
      </c>
      <c r="C1" s="2" t="s">
        <v>823</v>
      </c>
      <c r="D1" s="2" t="s">
        <v>824</v>
      </c>
    </row>
    <row r="2" spans="1:4" s="4" customFormat="1" x14ac:dyDescent="0.25">
      <c r="A2" s="5" t="s">
        <v>825</v>
      </c>
      <c r="B2" s="5">
        <f>COUNTA(Лиды!C2:C1000)</f>
        <v>112</v>
      </c>
      <c r="C2" s="5">
        <v>112</v>
      </c>
      <c r="D2" s="5" t="s">
        <v>826</v>
      </c>
    </row>
    <row r="3" spans="1:4" s="4" customFormat="1" x14ac:dyDescent="0.25">
      <c r="A3" s="5" t="s">
        <v>827</v>
      </c>
      <c r="B3" s="5">
        <f>COUNTIF(Лиды!B2:B1000,"A")</f>
        <v>34</v>
      </c>
      <c r="C3" s="5" t="s">
        <v>303</v>
      </c>
      <c r="D3" s="5" t="s">
        <v>828</v>
      </c>
    </row>
    <row r="4" spans="1:4" s="4" customFormat="1" x14ac:dyDescent="0.25">
      <c r="A4" s="5" t="s">
        <v>829</v>
      </c>
      <c r="B4" s="5">
        <f>COUNTIF(Лиды!P2:P1000,"NEW")</f>
        <v>112</v>
      </c>
      <c r="C4" s="5">
        <v>0</v>
      </c>
      <c r="D4" s="5" t="s">
        <v>830</v>
      </c>
    </row>
    <row r="5" spans="1:4" s="4" customFormat="1" x14ac:dyDescent="0.25">
      <c r="A5" s="5" t="s">
        <v>831</v>
      </c>
      <c r="B5" s="5">
        <f>COUNTIF(Лиды!P2:P1000,"В РАБОТЕ")</f>
        <v>0</v>
      </c>
      <c r="C5" s="5" t="s">
        <v>303</v>
      </c>
      <c r="D5" s="5" t="s">
        <v>28</v>
      </c>
    </row>
    <row r="6" spans="1:4" s="4" customFormat="1" x14ac:dyDescent="0.25">
      <c r="A6" s="5" t="s">
        <v>832</v>
      </c>
      <c r="B6" s="5">
        <f>COUNTIF(Лиды!P2:P1000,"ОТВЕТИЛ")</f>
        <v>0</v>
      </c>
      <c r="C6" s="5">
        <v>25</v>
      </c>
      <c r="D6" s="5" t="s">
        <v>833</v>
      </c>
    </row>
    <row r="7" spans="1:4" s="4" customFormat="1" x14ac:dyDescent="0.25">
      <c r="A7" s="5" t="s">
        <v>834</v>
      </c>
      <c r="B7" s="5">
        <f>COUNTIF(Лиды!P2:P1000,"ДЕМО")</f>
        <v>0</v>
      </c>
      <c r="C7" s="5">
        <v>12</v>
      </c>
      <c r="D7" s="5" t="s">
        <v>28</v>
      </c>
    </row>
    <row r="8" spans="1:4" s="4" customFormat="1" x14ac:dyDescent="0.25">
      <c r="A8" s="5" t="s">
        <v>835</v>
      </c>
      <c r="B8" s="5">
        <f>COUNTIF(Лиды!P2:P1000,"ПИЛОТ")</f>
        <v>0</v>
      </c>
      <c r="C8" s="5">
        <v>5</v>
      </c>
      <c r="D8" s="5" t="s">
        <v>836</v>
      </c>
    </row>
    <row r="9" spans="1:4" s="4" customFormat="1" x14ac:dyDescent="0.25">
      <c r="A9" s="5" t="s">
        <v>837</v>
      </c>
      <c r="B9" s="5">
        <f>COUNTIF(Лиды!P2:P1000,"СЧЁТ")</f>
        <v>0</v>
      </c>
      <c r="C9" s="5">
        <v>4</v>
      </c>
      <c r="D9" s="5" t="s">
        <v>28</v>
      </c>
    </row>
    <row r="10" spans="1:4" s="4" customFormat="1" x14ac:dyDescent="0.25">
      <c r="A10" s="5" t="s">
        <v>838</v>
      </c>
      <c r="B10" s="5">
        <f>COUNTIF(Лиды!P2:P1000,"ПЛАТИТ")</f>
        <v>0</v>
      </c>
      <c r="C10" s="5">
        <v>2</v>
      </c>
      <c r="D10" s="5" t="s">
        <v>839</v>
      </c>
    </row>
    <row r="11" spans="1:4" s="4" customFormat="1" x14ac:dyDescent="0.25">
      <c r="A11" s="5" t="s">
        <v>840</v>
      </c>
      <c r="B11" s="5">
        <f>COUNTIF(Лиды!P2:P1000,"ОТКАЗ")</f>
        <v>0</v>
      </c>
      <c r="C11" s="5" t="s">
        <v>303</v>
      </c>
      <c r="D11" s="5" t="s">
        <v>841</v>
      </c>
    </row>
    <row r="12" spans="1:4" s="4" customFormat="1" x14ac:dyDescent="0.25">
      <c r="A12" s="5" t="s">
        <v>842</v>
      </c>
      <c r="B12" s="7">
        <f>SUMIF(Лиды!P2:P1000,"ПЛАТИТ",Лиды!T2:T1000)</f>
        <v>0</v>
      </c>
      <c r="C12" s="5">
        <v>500000</v>
      </c>
      <c r="D12" s="5" t="s">
        <v>843</v>
      </c>
    </row>
    <row r="13" spans="1:4" s="4" customFormat="1" x14ac:dyDescent="0.25">
      <c r="A13" s="5" t="s">
        <v>844</v>
      </c>
      <c r="B13" s="7">
        <f>SUMIFS(Лиды!T2:T1000,Лиды!P2:P1000,"ДЕМО")+SUMIFS(Лиды!T2:T1000,Лиды!P2:P1000,"ПИЛОТ")+SUMIFS(Лиды!T2:T1000,Лиды!P2:P1000,"СЧЁТ")</f>
        <v>0</v>
      </c>
      <c r="C13" s="5" t="s">
        <v>303</v>
      </c>
      <c r="D13" s="5" t="s">
        <v>845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Лиды</vt:lpstr>
      <vt:lpstr>Воронка</vt:lpstr>
      <vt:lpstr>Скрипты</vt:lpstr>
      <vt:lpstr>План 30 дней</vt:lpstr>
      <vt:lpstr>Услуги и цены</vt:lpstr>
      <vt:lpstr>Объявления</vt:lpstr>
      <vt:lpstr>Метрики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Tournable</dc:creator>
  <dc:title/>
  <dc:subject/>
  <dc:description/>
  <cp:keywords/>
  <cp:category/>
  <cp:lastModifiedBy>Unknown</cp:lastModifiedBy>
  <dcterms:created xsi:type="dcterms:W3CDTF">2026-08-01T10:43:01Z</dcterms:created>
  <dcterms:modified xsi:type="dcterms:W3CDTF">2026-08-01T10:43:01Z</dcterms:modified>
</cp:coreProperties>
</file>
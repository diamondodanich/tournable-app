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етки" state="visible" r:id="rId4"/>
    <sheet sheetId="2" name="Дашборд" state="visible" r:id="rId5"/>
    <sheet sheetId="3" name="Идеи (бэклог)" state="visible" r:id="rId6"/>
    <sheet sheetId="4" name="Как вести" state="visible" r:id="rId7"/>
  </sheets>
  <calcPr calcId="171027" fullCalcOnLoad="1"/>
</workbook>
</file>

<file path=xl/sharedStrings.xml><?xml version="1.0" encoding="utf-8"?>
<sst xmlns="http://schemas.openxmlformats.org/spreadsheetml/2006/main" count="962" uniqueCount="384">
  <si>
    <t>№</t>
  </si>
  <si>
    <t>Статус</t>
  </si>
  <si>
    <t>Приоритет</t>
  </si>
  <si>
    <t>Дата</t>
  </si>
  <si>
    <t>Рубрика</t>
  </si>
  <si>
    <t>Формат / гипотеза</t>
  </si>
  <si>
    <t>О чём ветка</t>
  </si>
  <si>
    <t>Пост 1 — ХУК (≤500)</t>
  </si>
  <si>
    <t>Пост 2</t>
  </si>
  <si>
    <t>Пост 3</t>
  </si>
  <si>
    <t>Пост 4 / финал</t>
  </si>
  <si>
    <t>Вложение</t>
  </si>
  <si>
    <t>CTA</t>
  </si>
  <si>
    <t>Тренд / контекст</t>
  </si>
  <si>
    <t>Просмотры</t>
  </si>
  <si>
    <t>Ответы</t>
  </si>
  <si>
    <t>Переходы в профиль</t>
  </si>
  <si>
    <t>Заметка по результату</t>
  </si>
  <si>
    <t>Идея</t>
  </si>
  <si>
    <t>Средний</t>
  </si>
  <si>
    <t/>
  </si>
  <si>
    <t>Боль организатора</t>
  </si>
  <si>
    <t>Relatable / боль</t>
  </si>
  <si>
    <t>Таблица в вотсапе</t>
  </si>
  <si>
    <t>Организовать турнир на 8 команд — это 20% футбол и 80% переписка в вотсапе про то, у кого сколько очков.</t>
  </si>
  <si>
    <t>Сначала кажется, что справишься в заметках. Потом эксель. Потом кто-то пишет «а почему у нас 4 очка, а не 6», и ты полдня пересчитываешь вручную.</t>
  </si>
  <si>
    <t>Самое обидное: пока ты считаешь таблицу, ты не смотришь сам турнир, который сам же придумал.</t>
  </si>
  <si>
    <t>Мы сделали так, чтобы таблица считалась сама после каждого матча. Ты просто ведёшь игру.</t>
  </si>
  <si>
    <t>Скрин переписки в вотсапе про очки (можно инсценировать) ИЛИ фото рукописной таблицы с зачёркиваниями.</t>
  </si>
  <si>
    <t>Ссылку на tournable.app — последним постом или первым комментарием (не в хуке).</t>
  </si>
  <si>
    <t>Вечная боль</t>
  </si>
  <si>
    <t>Список</t>
  </si>
  <si>
    <t>5 стадий ведения вручную</t>
  </si>
  <si>
    <t>5 стадий организатора любительского турнира:</t>
  </si>
  <si>
    <t xml:space="preserve">1. «Да я в заметках всё запишу»
2. «Ладно, сделаю табличку в экселе»
3. «Почему формулы поехали»
4. «Ребята, я пересчитаю и скину»
5. Тихо гуглит, как это делают нормальные люди</t>
  </si>
  <si>
    <t>Если дошёл до пятой — ты по адресу. Есть инструмент, где сетка, расписание и таблица считаются сами.</t>
  </si>
  <si>
    <t>Можно без вложения. Или мем «стадии принятия».</t>
  </si>
  <si>
    <t>Без ссылки в тексте — только «ссылка в профиле».</t>
  </si>
  <si>
    <t>Evergreen</t>
  </si>
  <si>
    <t>Вопрос-вовлечение</t>
  </si>
  <si>
    <t>Как ты считаешь таблицу</t>
  </si>
  <si>
    <t>Честный вопрос к тем, кто проводил турниры: как вы СЕЙЧАС считаете турнирную таблицу?</t>
  </si>
  <si>
    <t>Эксель / скрины в вотсапе / бумага / вообще на глаз?</t>
  </si>
  <si>
    <t>Пишите в комментах — сам года два вёл в экселе, пока не надоело.</t>
  </si>
  <si>
    <t>Опрос Threads (4 варианта) ИЛИ текст-вопрос.</t>
  </si>
  <si>
    <t>Мягко: в комментах «это Tournable, ссылка в профиле».</t>
  </si>
  <si>
    <t>Вовлечение</t>
  </si>
  <si>
    <t>Спор о голе</t>
  </si>
  <si>
    <t>Ничто не убивает дворовый турнир быстрее, чем спор «был гол или не был» без единой записи о том, кто вообще забивал.</t>
  </si>
  <si>
    <t>Через неделю никто не помнит счёт третьего матча. А статистику бомбардиров ведёт... никто.</t>
  </si>
  <si>
    <t>Поэтому мы фиксируем каждое событие: гол, ассист, карточку — с минутой и именем. Спорить становится не о чем.</t>
  </si>
  <si>
    <t>Скрин статистики матча из tournable.app (события по минутам с именами).</t>
  </si>
  <si>
    <t>Хот-тейк</t>
  </si>
  <si>
    <t>Эксель не для турниров</t>
  </si>
  <si>
    <t>Непопулярное мнение: эксель — худший инструмент для турнира, которым все пользуются по привычке.</t>
  </si>
  <si>
    <t>Он не строит сетку плей-офф. Не показывает расписание участникам. Не обновляет счёт в реальном времени. Не открывается нормально с телефона у зрителя.</t>
  </si>
  <si>
    <t>Он просто таблица. А турниру нужна система.</t>
  </si>
  <si>
    <t>Скрин кривого экселя vs чистая таблица Tournable.</t>
  </si>
  <si>
    <t>Любительский спорт недооценён</t>
  </si>
  <si>
    <t>Непопулярное мнение: любительский футбол в Казахстане недооценён из-за подачи, а не из-за уровня игры.</t>
  </si>
  <si>
    <t>Те же эмоции, та же драма на вылет, те же герои — но всё тонет в скриншотах из вотсапа.</t>
  </si>
  <si>
    <t>Дай дворовому турниру нормальную страницу, статистику и табло — по вовлечению он не уступит трансляции.</t>
  </si>
  <si>
    <t>Фото живого любительского матча (эмоции, атмосфера).</t>
  </si>
  <si>
    <t>Идентичность бренда</t>
  </si>
  <si>
    <t>Не приложение, а ссылка</t>
  </si>
  <si>
    <t>Хот-тейк: если чтобы посмотреть счёт дворового турнира зрителю надо что-то скачать — вы уже проиграли.</t>
  </si>
  <si>
    <t>Никто не ставит приложение ради турнира на выходные.</t>
  </si>
  <si>
    <t>Всё должно открываться по одной ссылке. Отправил в чат — и мама игрока, и коллеги, и соперники уже всё видят.</t>
  </si>
  <si>
    <t>Скрин публичной страницы турнира в браузере телефона.</t>
  </si>
  <si>
    <t>Продуктовый принцип</t>
  </si>
  <si>
    <t>Турнир не должен умирать</t>
  </si>
  <si>
    <t>Проблема любительских лиг: турнир заканчивается — и вся история умирает вместе с вотсап-чатом.</t>
  </si>
  <si>
    <t>Кто был чемпионом в прошлом сезоне? Кто был лучшим бомбардиром? Никто не помнит — нигде не записано.</t>
  </si>
  <si>
    <t>Профессиональный спорт держится на истории и статистике. Любительскому это нужно не меньше — просто инструментов не было.</t>
  </si>
  <si>
    <t>Скрин архива сезонов лиги / профиля игрока.</t>
  </si>
  <si>
    <t>Вижн</t>
  </si>
  <si>
    <t>Формат решает</t>
  </si>
  <si>
    <t>Большинство дворовых турниров скучные не потому что игроки слабые, а потому что формат выбран лениво: «давайте каждый с каждым».</t>
  </si>
  <si>
    <t>Группы + плей-офф превращают выходные в драму на вылет. Швейцарка спасает, когда команд много, а времени мало.</t>
  </si>
  <si>
    <t>Формат — половина впечатления. Выбирайте осознанно.</t>
  </si>
  <si>
    <t>Скрин выбора формата ИЛИ схема сеток.</t>
  </si>
  <si>
    <t>Образовательный хот-тейк</t>
  </si>
  <si>
    <t>Фича в действии</t>
  </si>
  <si>
    <t>Демо-фича</t>
  </si>
  <si>
    <t>Сетка за 10 секунд</t>
  </si>
  <si>
    <t>Раньше сетку плей-офф на 16 команд я рисовал в экселе минут сорок. И всё равно путался, кто с кем.</t>
  </si>
  <si>
    <t>Теперь: ввёл команды, выбрал «плей-офф» — сетка построилась сама. 10 секунд.</t>
  </si>
  <si>
    <t>И она сразу живая: вписал результат — победитель автоматически уехал в следующий раунд.</t>
  </si>
  <si>
    <t>Видео-скринкаст: генерация сетки плей-офф.</t>
  </si>
  <si>
    <t>Ядро продукта</t>
  </si>
  <si>
    <t>Живое табло</t>
  </si>
  <si>
    <t>Показываю вещь, от которой зрители на дворовом турнире реально залипают.</t>
  </si>
  <si>
    <t>Ты вбиваешь гол с телефона на поле — счёт мгновенно меняется у ВСЕХ, кто открыл ссылку. Хоть у сотни человек.</t>
  </si>
  <si>
    <t>Можно вывести на телевизор или проектор — выглядит как настоящая трансляция. Без единого приложения.</t>
  </si>
  <si>
    <t>Видео: сплит-скрин (ввод гола + обновление у зрителя) или табло на ТВ.</t>
  </si>
  <si>
    <t>Флагманская фича</t>
  </si>
  <si>
    <t>Профили игроков</t>
  </si>
  <si>
    <t>Момент, когда любительская лига перестаёт быть «просто турниром»: у каждого игрока появляется свой профиль.</t>
  </si>
  <si>
    <t>Голы, ассисты, карточки, матчи по сезонам — всё копится. Дворовый форвард получает страницу статистики, как у профи.</t>
  </si>
  <si>
    <t>Это то, ради чего игроки возвращаются в лигу из года в год.</t>
  </si>
  <si>
    <t>Скрин страницы игрока (статистика по сезонам).</t>
  </si>
  <si>
    <t>Удержание</t>
  </si>
  <si>
    <t>Отчёт в один клик</t>
  </si>
  <si>
    <t>После турнира всем нужен «итоговый пост»: таблица, сетка, бомбардиры, красиво.</t>
  </si>
  <si>
    <t>Обычно это фотошоп или сбор скриншотов. Или не делать вообще.</t>
  </si>
  <si>
    <t>Один клик — брендированный PDF с логотипом турнира. Или PNG отдельной таблицы прямо в чат.</t>
  </si>
  <si>
    <t>Видео экспорта брендированного отчёта.</t>
  </si>
  <si>
    <t>Продукт</t>
  </si>
  <si>
    <t>Соредакторы</t>
  </si>
  <si>
    <t>Ведёшь турнир не один? Знаешь боль: один логин передают из рук в руки, кто-то что-то затёр.</t>
  </si>
  <si>
    <t>Добавляешь соредактора по ссылке — вносите результаты параллельно, изменения видны в реальном времени у обоих.</t>
  </si>
  <si>
    <t>Турнир — командная работа. Инструмент должен это позволять.</t>
  </si>
  <si>
    <t>Видео: два устройства, синхронный ввод.</t>
  </si>
  <si>
    <t>PRO-фича</t>
  </si>
  <si>
    <t>Sport-aware</t>
  </si>
  <si>
    <t>Многие «конструкторы турниров» — это футбол, где просто переименовали кнопки под другой спорт.</t>
  </si>
  <si>
    <t>У нас события, термины и логика подстраиваются под вид спорта. Баскетбол, волейбол, хоккей, единоборства, даже кочевые и интеллектуальные игры.</t>
  </si>
  <si>
    <t>13 видов, и каждый ведётся по-своему, а не «футбол в маске».</t>
  </si>
  <si>
    <t>Скрин разных наборов событий по видам спорта.</t>
  </si>
  <si>
    <t>Дифференциация</t>
  </si>
  <si>
    <t>Честный жребий</t>
  </si>
  <si>
    <t>Классика дворового турнира: в одну группу случайно попали три сильнейшие команды, и половина турнира предрешена.</t>
  </si>
  <si>
    <t>Оцениваешь силу команд — платформа сама разводит фаворитов по группам и половинам сетки.</t>
  </si>
  <si>
    <t>Жеребьёвка по силе, как на больших турнирах. Меньше проходных матчей, больше интриги.</t>
  </si>
  <si>
    <t>Скрин посева/жеребьёвки по силе.</t>
  </si>
  <si>
    <t>Тренд / большой футбол</t>
  </si>
  <si>
    <t>Тренд-реакция</t>
  </si>
  <si>
    <t>А когда твой финал</t>
  </si>
  <si>
    <t>Все обсуждают финал чемпионата мира. А дата финала твоего собственного турнира до сих пор пустая.</t>
  </si>
  <si>
    <t>ЧМ бывает раз в 4 года. Твой турнир может стартовать хоть на этих выходных.</t>
  </si>
  <si>
    <t>Собери 8 команд из района или офиса — и через месяц у тебя будет свой финал.</t>
  </si>
  <si>
    <t>Фото финала/трибун (сток) ИЛИ пустая сетка «дата финала: ___».</t>
  </si>
  <si>
    <t>Пик ЧМ — до 19 июля</t>
  </si>
  <si>
    <t>Объяснение на волне</t>
  </si>
  <si>
    <t>Почему 48 команд</t>
  </si>
  <si>
    <t>На этом ЧМ впервые 48 команд, и многие путаются, как из группового этапа все выходят в плей-офф.</t>
  </si>
  <si>
    <t>Если коротко: команды делят на группы, лучшие идут дальше, дальше — сетка на вылет. Та же логика работает и для 8 команд во дворе.</t>
  </si>
  <si>
    <t>Кстати, именно этот формат — один из самых недооценённых для любительских турниров.</t>
  </si>
  <si>
    <t>Схема «группы → плей-офф».</t>
  </si>
  <si>
    <t>На волне ЧМ</t>
  </si>
  <si>
    <t>Тренд-разворот</t>
  </si>
  <si>
    <t>Сезон не заканчивается</t>
  </si>
  <si>
    <t>Чемпионат мира закончился. Сборные разъехались по домам.</t>
  </si>
  <si>
    <t>А местный футбол не заканчивается никогда: дворовые, корпоративные, школьные турниры идут круглый год.</t>
  </si>
  <si>
    <t>Большой футбол ушёл на 4 года. Твой — начинается на этих выходных.</t>
  </si>
  <si>
    <t>Контраст: пустой стадион → живой любительский матч.</t>
  </si>
  <si>
    <t>Разворот после 19 июля</t>
  </si>
  <si>
    <t>Хот-тейк на тренде</t>
  </si>
  <si>
    <t>Дворовый vs ЧМ</t>
  </si>
  <si>
    <t>5 отличий чемпионата мира от твоего дворового турнира: 48 команд против 8, стадион на 80 000 против школьного двора, телетрансляция против ссылки в чате.</t>
  </si>
  <si>
    <t>Судейская бригада против тебя со свистком. Бюджет FIFA против нуля тенге.</t>
  </si>
  <si>
    <t>И одно сходство важнее всех различий: оба заслуживают нормальную таблицу. Одну ведёт FIFA. Вторую можно собрать за минуту.</t>
  </si>
  <si>
    <t>Картинка-сравнение.</t>
  </si>
  <si>
    <t>Вовлечение на тренде</t>
  </si>
  <si>
    <t>Прогноз</t>
  </si>
  <si>
    <t>Быстрый вопрос под финал: если бы ваш дворовой турнир проводили по формату ЧМ — группы, плей-офф — сколько команд бы собрали?</t>
  </si>
  <si>
    <t>И честно: чья команда стала бы чемпионом района?</t>
  </si>
  <si>
    <t>Пишите состав мечты в комментах.</t>
  </si>
  <si>
    <t>Без вложения.</t>
  </si>
  <si>
    <t>Build in public</t>
  </si>
  <si>
    <t>Фаундер-история</t>
  </si>
  <si>
    <t>Почему я это делаю</t>
  </si>
  <si>
    <t>Год назад я организовывал дворовый турнир и поймал себя на мысли: я вообще не смотрю футбол, который сам придумал. Я весь день считаю таблицу в вотсапе.</t>
  </si>
  <si>
    <t>Тогда решил сделать инструмент, чтобы организатор занимался игрой, а не экселем.</t>
  </si>
  <si>
    <t>Так появился Tournable. Строю в открытую — буду рассказывать, что получается, а что нет.</t>
  </si>
  <si>
    <t>Селфи с того турнира ИЛИ первый скрин прототипа.</t>
  </si>
  <si>
    <t>Личный бренд</t>
  </si>
  <si>
    <t>Апдейт</t>
  </si>
  <si>
    <t>Что добавил за неделю</t>
  </si>
  <si>
    <t>Апдейт по продукту за неделю: [сюда конкретику — что добавил или починил].</t>
  </si>
  <si>
    <t>Делаю Tournable в одиночку, поэтому каждая мелочь — чей-то реальный запрос.</t>
  </si>
  <si>
    <t>Что добавить дальше? Серьёзно спрашиваю — пишите, читаю всё.</t>
  </si>
  <si>
    <t>Скрин новой фичи (заполнить по факту).</t>
  </si>
  <si>
    <t>Регулярная рубрика</t>
  </si>
  <si>
    <t>Честный пост</t>
  </si>
  <si>
    <t>Пока без пользователей</t>
  </si>
  <si>
    <t>Честно: продукт готов, а платящих пользователей пока ноль. Мы в самом начале.</t>
  </si>
  <si>
    <t>Звучит страшно, но это лучший момент зайти: самое сложное — построить работающий продукт — уже позади.</t>
  </si>
  <si>
    <t>Дальше самое интересное — довести его до первых живых турниров. Веду этот путь открыто.</t>
  </si>
  <si>
    <t>Аутентичность</t>
  </si>
  <si>
    <t>За кулисами</t>
  </si>
  <si>
    <t>Почему убрали слово Live</t>
  </si>
  <si>
    <t>Маленькое решение, которое многие не заметят: мы убрали слово «Live» из всего интерфейса.</t>
  </si>
  <si>
    <t>Причина неожиданная — «live» + спорт + счёт в реальном времени платёжные системы иногда принимают за профиль для ставок. Пришлось переименовать в «Табло».</t>
  </si>
  <si>
    <t>Иногда продукт формируют не хотелки, а скучные внешние ограничения.</t>
  </si>
  <si>
    <t>До/после скрин кнопки.</t>
  </si>
  <si>
    <t>Инсайт</t>
  </si>
  <si>
    <t>Урок</t>
  </si>
  <si>
    <t>Фокус на одном</t>
  </si>
  <si>
    <t>Соблазн любого продукта на старте: добавить всё сразу. Софт, съёмку, оборудование, организацию под ключ.</t>
  </si>
  <si>
    <t>Понял, что это ловушка. Сначала надо доказать одно: что за софт платят. Остальное — потом.</t>
  </si>
  <si>
    <t>Ширина убивает стартапы быстрее, чем узость. Учусь говорить «нет» хорошим идеям не вовремя.</t>
  </si>
  <si>
    <t>Мышление фаундера</t>
  </si>
  <si>
    <t>Образовательное</t>
  </si>
  <si>
    <t>How-to</t>
  </si>
  <si>
    <t>Какой формат выбрать</t>
  </si>
  <si>
    <t>Гайд на 30 секунд: какой формат турнира выбрать под свою ситуацию.</t>
  </si>
  <si>
    <t>Мало времени, много команд → швейцарка или группы. Хочешь драму на вылет → плей-офф. Хочешь, чтобы все сыграли со всеми → круговая. И то и то → группы + плей-офф.</t>
  </si>
  <si>
    <t>Нет «правильного» формата. Есть подходящий под число команд и время.</t>
  </si>
  <si>
    <t>Инфографика форматов (Canva).</t>
  </si>
  <si>
    <t>Образование</t>
  </si>
  <si>
    <t>Как не запороть жеребьёвку</t>
  </si>
  <si>
    <t>Самая частая ошибка организатора: случайная жеребьёвка, когда команды разного уровня.</t>
  </si>
  <si>
    <t>В итоге все сильные в одной группе — половина матчей неинтересна ещё до старта.</t>
  </si>
  <si>
    <t>Решение: сеять по силе, разводить фаворитов. Тогда интрига держится до последнего тура.</t>
  </si>
  <si>
    <t>Схема «плохая vs хорошая» жеребьёвка.</t>
  </si>
  <si>
    <t>Мифы</t>
  </si>
  <si>
    <t>Миф: турнир — это сложно</t>
  </si>
  <si>
    <t>Миф: чтобы провести нормальный турнир, нужен опыт и куча времени.</t>
  </si>
  <si>
    <t>Реальность: нужно 3 вещи — список команд, формат и способ вести счёт. Всё остальное делается автоматически.</t>
  </si>
  <si>
    <t>Порог входа в «организатора» сейчас ниже, чем когда-либо.</t>
  </si>
  <si>
    <t>Скрин создания турнира.</t>
  </si>
  <si>
    <t>Группы + плей-офф</t>
  </si>
  <si>
    <t>Самый частый вопрос от организаторов: «а можно сначала группы, а потом на вылет?»</t>
  </si>
  <si>
    <t>Да. Это формат «группы + плей-офф» — как на ЧМ. Команды делятся на группы, лучшие выходят в сетку.</t>
  </si>
  <si>
    <t>Настраивается за минуту: число групп и сколько команд проходит дальше.</t>
  </si>
  <si>
    <t>Видео-туториал настройки формата.</t>
  </si>
  <si>
    <t>Топ-фича</t>
  </si>
  <si>
    <t>Чек-лист</t>
  </si>
  <si>
    <t>Перед стартом турнира</t>
  </si>
  <si>
    <t>Чек-лист перед запуском любительского турнира:</t>
  </si>
  <si>
    <t xml:space="preserve">1. Определи формат под число команд
2. Собери точные названия команд
3. Реши, как ведёшь счёт (не в голове)
4. Заранее раздай ссылку на страницу турнира
5. Назначь соредактора, если ведёшь не один</t>
  </si>
  <si>
    <t>Пройдёшь эти пять — турнир не развалится на третьем туре.</t>
  </si>
  <si>
    <t>Чек-лист картинкой (Canva).</t>
  </si>
  <si>
    <t>Сохранения</t>
  </si>
  <si>
    <t>Опрос</t>
  </si>
  <si>
    <t>Формат мечты</t>
  </si>
  <si>
    <t>Опрос для тех, кто играет в любительских турнирах: какой формат заходит больше всего?</t>
  </si>
  <si>
    <t>Круговая / Плей-офф / Группы + плей-офф / Швейцарка</t>
  </si>
  <si>
    <t>Опрос Threads (4 варианта).</t>
  </si>
  <si>
    <t>Вопрос</t>
  </si>
  <si>
    <t>Худший турнир</t>
  </si>
  <si>
    <t>Расскажите самую эпичную историю провала на любительском турнире.</t>
  </si>
  <si>
    <t>Судья потерялся? Команда не пришла на финал? Спор о голе перешёл в драку? Кубок отдали не тем из-за неправильной таблицы?</t>
  </si>
  <si>
    <t>Собираю коллекцию боли — делитесь.</t>
  </si>
  <si>
    <t>Виральность</t>
  </si>
  <si>
    <t>Сколько времени уходит</t>
  </si>
  <si>
    <t>Вопрос к организаторам: сколько времени реально уходит на «бумажную» часть — расписание, таблица, подсчёты?</t>
  </si>
  <si>
    <t>Час? Три? Весь турнир напролёт?</t>
  </si>
  <si>
    <t>Пытаюсь понять, насколько это массовая боль или только моя травма.</t>
  </si>
  <si>
    <t>Research</t>
  </si>
  <si>
    <t>Спорное мнение</t>
  </si>
  <si>
    <t>Кубок или организация</t>
  </si>
  <si>
    <t>Спорный вопрос: что важнее для любительского турнира — крутой кубок или нормальная организация?</t>
  </si>
  <si>
    <t>Одни готовы играть за копеечную медаль, если всё чётко. Другие придут только за призом.</t>
  </si>
  <si>
    <t>А вы за что играете?</t>
  </si>
  <si>
    <t>Фото кубка/медалей.</t>
  </si>
  <si>
    <t>Челлендж</t>
  </si>
  <si>
    <t>Назови чемпиона</t>
  </si>
  <si>
    <t>Челлендж: назови команду из своего двора/офиса/универа, которая выиграла бы турнир прямо сейчас.</t>
  </si>
  <si>
    <t>Отметь их. Пусть знают, что на них ставят.</t>
  </si>
  <si>
    <t>А потом — почему бы реально не проверить это на турнире?</t>
  </si>
  <si>
    <t>Посев интереса</t>
  </si>
  <si>
    <t>Локальный контекст KZ</t>
  </si>
  <si>
    <t>Локальный инсайт</t>
  </si>
  <si>
    <t>Дворовый футбол в РК</t>
  </si>
  <si>
    <t>В Казахстане дворовый и любительский футбол огромный — LLF, ASTFL, корпоративные лиги, универ-турниры каждую неделю.</t>
  </si>
  <si>
    <t>Но почти всё ведётся в вотсапе и экселе. Нормального локального инструмента под это просто не было.</t>
  </si>
  <si>
    <t>Мы делаем его. Казахстанский продукт под казахстанский любительский спорт.</t>
  </si>
  <si>
    <t>Фото местного любительского матча.</t>
  </si>
  <si>
    <t>Локальный патриотизм</t>
  </si>
  <si>
    <t>Двуязычный</t>
  </si>
  <si>
    <t>Каз/рус интерфейс</t>
  </si>
  <si>
    <t>Мелочь, которая не мелочь: платформа полностью работает на казахском, русском и английском.</t>
  </si>
  <si>
    <t>Турнир в ауле, корпоративная лига в Астане, студенческий чемпионат — интерфейс и страница на языке твоей аудитории.</t>
  </si>
  <si>
    <t>Локальный продукт должен говорить на языке региона. По умолчанию.</t>
  </si>
  <si>
    <t>Скрин интерфейса на казахском.</t>
  </si>
  <si>
    <t>Локализация</t>
  </si>
  <si>
    <t>Вопрос локальный</t>
  </si>
  <si>
    <t>Какая лига твоя</t>
  </si>
  <si>
    <t>Вопрос к тем, кто в теме любительского футбола в Казахстане: за какую лигу или команду топите?</t>
  </si>
  <si>
    <t>LLF, ASTFL, корпоративная, универ, дворовая на районе?</t>
  </si>
  <si>
    <t>Собираю карту, кто где играет.</t>
  </si>
  <si>
    <t>Локальное вовлечение</t>
  </si>
  <si>
    <t>На волне ЧМ локально</t>
  </si>
  <si>
    <t>Наш уровень подачи</t>
  </si>
  <si>
    <t>Пока весь мир смотрит чемпионат мира, у нас в Казахстане каждые выходные проходят десятки своих турниров.</t>
  </si>
  <si>
    <t>Разница только в подаче: у ЧМ табло, статистика, красивые сетки. У нас — скрин таблицы в чате.</t>
  </si>
  <si>
    <t>А ведь тот же уровень подачи давно доступен и для дворовой лиги. Без бюджета FIFA.</t>
  </si>
  <si>
    <t>Фото местного турнира + скрин Tournable.</t>
  </si>
  <si>
    <t>Локально + тренд</t>
  </si>
  <si>
    <t>Кейс / история</t>
  </si>
  <si>
    <t>Соцдоказательство</t>
  </si>
  <si>
    <t>Первый живой турнир</t>
  </si>
  <si>
    <t>Сегодня особенный день: на Tournable провели первый реальный турнир. Не демо, не тестовые данные — живые команды, живой организатор.</t>
  </si>
  <si>
    <t>[короткий отзыв организатора]</t>
  </si>
  <si>
    <t>Спасибо [имя/лига] за доверие. Это только начало.</t>
  </si>
  <si>
    <t>Скринкаст реального турнира пилота (с согласия) + скрин отзыва.</t>
  </si>
  <si>
    <t>Когда появится пилот</t>
  </si>
  <si>
    <t>До/после</t>
  </si>
  <si>
    <t>Как менялся турнир</t>
  </si>
  <si>
    <t>До: таблица в экселе, счёт в вотсапе, половина участников не знает расписание.</t>
  </si>
  <si>
    <t>После: одна ссылка, где всё — расписание, счёт, таблица, бомбардиры. Обновляется само.</t>
  </si>
  <si>
    <t>Один и тот же турнир. Разница только в инструменте.</t>
  </si>
  <si>
    <t>Сравнение: эксель vs страница Tournable.</t>
  </si>
  <si>
    <t>Evergreen кейс</t>
  </si>
  <si>
    <t>Мини-кейс</t>
  </si>
  <si>
    <t>Что спрашивают на демо</t>
  </si>
  <si>
    <t>Показал продукт нескольким организаторам. Три вопроса, которые задают чаще всего:</t>
  </si>
  <si>
    <t xml:space="preserve">1. «Можно группы, а потом плей-офф?» — да.
2. «Зрителям надо что-то скачивать?» — нет, просто ссылка.
3. «Статистика игроков ведётся?» — да, сама.</t>
  </si>
  <si>
    <t>Если у тебя те же вопросы — ответ на все три «да».</t>
  </si>
  <si>
    <t>Скрин соответствующих фич.</t>
  </si>
  <si>
    <t>Короткое / цитата</t>
  </si>
  <si>
    <t>Одиночный пост</t>
  </si>
  <si>
    <t>Честность важнее кубка</t>
  </si>
  <si>
    <t>Лучший турнир — не тот, где дорогой кубок. А тот, где всё было честно посчитано и никто не ушёл обиженным.</t>
  </si>
  <si>
    <t>Чистый текст на брендовом фоне (Canva) — как открытка-цитата.</t>
  </si>
  <si>
    <t>Эмоция, стиль sajda</t>
  </si>
  <si>
    <t>Уважение к организатору</t>
  </si>
  <si>
    <t>Организатор турнира — это человек, который делает так, чтобы 100 людей просто пришли и поиграли. Самая недооценённая роль в любительском спорте.</t>
  </si>
  <si>
    <t>Текст-открытка на брендовом фоне.</t>
  </si>
  <si>
    <t>Эмоция</t>
  </si>
  <si>
    <t>Первая лига в жизни</t>
  </si>
  <si>
    <t>Дворовый футбол — это первая лига в жизни каждого. Она заслуживает такого же уважения, как и большая.</t>
  </si>
  <si>
    <t>Фото дворового поля / детского турнира.</t>
  </si>
  <si>
    <t>Начни сегодня</t>
  </si>
  <si>
    <t>Финал случается только для тех, кто начал. Твой турнир не соберётся сам — но соберётся за минуту, если начать сегодня.</t>
  </si>
  <si>
    <t>Текст-открытка.</t>
  </si>
  <si>
    <t>Мотивация</t>
  </si>
  <si>
    <t>Память турнира</t>
  </si>
  <si>
    <t>Через год ты не вспомнишь счёт. Но вспомнишь, что турнир был по-настоящему организован. Детали решают.</t>
  </si>
  <si>
    <t>Tournable — Threads: панель управления</t>
  </si>
  <si>
    <t>48 готовых веток. Заполняй метрики после публикации — статистика ниже пересчитается сама.</t>
  </si>
  <si>
    <t>СВОДКА</t>
  </si>
  <si>
    <t>Всего веток</t>
  </si>
  <si>
    <t>Опубликовано</t>
  </si>
  <si>
    <t>Из них «Успех»</t>
  </si>
  <si>
    <t>Идеи и план</t>
  </si>
  <si>
    <t>Успех-рейт</t>
  </si>
  <si>
    <t>ПО РУБРИКАМ</t>
  </si>
  <si>
    <t>Кол-во</t>
  </si>
  <si>
    <t>Ср. просмотры</t>
  </si>
  <si>
    <t>Ср. переходы</t>
  </si>
  <si>
    <t>ПО СТАТУСУ</t>
  </si>
  <si>
    <t>Запланировано</t>
  </si>
  <si>
    <t>Успех</t>
  </si>
  <si>
    <t>Провал</t>
  </si>
  <si>
    <t>Открыть Threads</t>
  </si>
  <si>
    <t>1</t>
  </si>
  <si>
    <t>(твой формат)</t>
  </si>
  <si>
    <t>О чём ветка одной строкой</t>
  </si>
  <si>
    <t>Хук — первый пост, до 500 символов</t>
  </si>
  <si>
    <t>Второй пост...</t>
  </si>
  <si>
    <t>Что за картинка/видео/скрин</t>
  </si>
  <si>
    <t>Где ссылка</t>
  </si>
  <si>
    <t>Какой тренд</t>
  </si>
  <si>
    <t>Как пользоваться этим файлом</t>
  </si>
  <si>
    <t>4 листа: «Дашборд» (авто-статистика), «Ветки» (готовая база), «Идеи (бэклог)» (куда скидывать своё), «Как вести» (этот лист). Публикуй посты ветки один за другим ответом на предыдущий.</t>
  </si>
  <si>
    <t>Рабочий процесс</t>
  </si>
  <si>
    <t>1. Выбери ветку</t>
  </si>
  <si>
    <t>На листе «Ветки» отфильтруй по рубрике. Поставь «Приоритет» и «Дата».</t>
  </si>
  <si>
    <t>2. Опубликуй</t>
  </si>
  <si>
    <t>Пост 1 → затем Пост 2 ответом на него → и т.д. Ссылку — в последний пост или комментарий.</t>
  </si>
  <si>
    <t>3. Отметь статус</t>
  </si>
  <si>
    <t>Смени «Идея» на «Опубликовано». Цвет строки поменяется сам.</t>
  </si>
  <si>
    <t>4. Впиши метрики</t>
  </si>
  <si>
    <t>Через день-два внеси Просмотры / Ответы / Переходы. Дашборд пересчитает средние по рубрикам.</t>
  </si>
  <si>
    <t>5. Удваивай победителей</t>
  </si>
  <si>
    <t>Смотри на дашборде, какая рубрика даёт больше переходов — пиши в ней чаще. Ставь «Успех»/«Провал».</t>
  </si>
  <si>
    <t>Правила Threads</t>
  </si>
  <si>
    <t>Лимит 500 символов</t>
  </si>
  <si>
    <t>На один пост ветки. Все тексты в базе уже в лимите.</t>
  </si>
  <si>
    <t>Хук решает</t>
  </si>
  <si>
    <t>Первый пост цепляет за секунду, иначе ветку не откроют.</t>
  </si>
  <si>
    <t>Ссылка не в хуке</t>
  </si>
  <si>
    <t>Ссылка в первом посте режет охват. Давай её последним постом или первым комментарием.</t>
  </si>
  <si>
    <t>Заканчивай вопросом</t>
  </si>
  <si>
    <t>Threads поднимает то, что собирает ответы. Отвечай на комментарии.</t>
  </si>
  <si>
    <t>Без эмодзи</t>
  </si>
  <si>
    <t>Чистый премиум-тон. Ритм — короткими строками, а не смайлами.</t>
  </si>
  <si>
    <t>Частота</t>
  </si>
  <si>
    <t>1-3 ветки в день — норма. Самый дешёвый канал, веди даже без видео.</t>
  </si>
  <si>
    <t>Стиль (взято у сильных аккаунтов, напр. sajda_app)</t>
  </si>
  <si>
    <t>Текст-первый</t>
  </si>
  <si>
    <t>Простые, чистые формулировки без графического мусора. Мысль важнее оформления.</t>
  </si>
  <si>
    <t>Прямое обращение</t>
  </si>
  <si>
    <t>Пиши «ты», «тебе». Личный, тёплый тон бьёт сильнее корпоративного.</t>
  </si>
  <si>
    <t>Одна мысль — один пост</t>
  </si>
  <si>
    <t>Рубрика «Короткое / цитата»: одна сильная фраза-открытка. Такие собирают больше всего реакций.</t>
  </si>
  <si>
    <t>Постоянство</t>
  </si>
  <si>
    <t>Один узнаваемый голос и визуальный стиль (брендовые фоны в Canva для цитат).</t>
  </si>
  <si>
    <t>Разнообразие форматов</t>
  </si>
  <si>
    <t>Чередуй боль, хот-тейки, фичи, вопросы — монотонность убивает охват.</t>
  </si>
  <si>
    <t>Рубрики (для теста гипотез)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</si>
</sst>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6B7280"/>
      <sz val="9.5"/>
      <name val="Segoe UI"/>
    </font>
    <font>
      <color rgb="FF15211C"/>
      <sz val="9.5"/>
      <name val="Segoe UI"/>
    </font>
    <font>
      <b/>
      <color rgb="FFDB2777"/>
      <sz val="9.5"/>
      <name val="Segoe UI"/>
    </font>
    <font>
      <b/>
      <color rgb="FF15211C"/>
      <sz val="9.5"/>
      <name val="Segoe UI"/>
    </font>
    <font>
      <b/>
      <color rgb="FFDC2626"/>
      <sz val="9.5"/>
      <name val="Segoe UI"/>
    </font>
    <font>
      <b/>
      <color rgb="FF059669"/>
      <sz val="9.5"/>
      <name val="Segoe UI"/>
    </font>
    <font>
      <b/>
      <color rgb="FFD97706"/>
      <sz val="9.5"/>
      <name val="Segoe UI"/>
    </font>
    <font>
      <b/>
      <color rgb="FF2563EB"/>
      <sz val="9.5"/>
      <name val="Segoe UI"/>
    </font>
    <font>
      <b/>
      <color rgb="FF7C3AED"/>
      <sz val="9.5"/>
      <name val="Segoe UI"/>
    </font>
    <font>
      <b/>
      <color rgb="FF0E7490"/>
      <sz val="9.5"/>
      <name val="Segoe UI"/>
    </font>
    <font>
      <b/>
      <color rgb="FF0D9488"/>
      <sz val="9.5"/>
      <name val="Segoe UI"/>
    </font>
    <font>
      <b/>
      <color rgb="FFB45309"/>
      <sz val="9.5"/>
      <name val="Segoe UI"/>
    </font>
    <font>
      <b/>
      <color rgb="FF9333EA"/>
      <sz val="9.5"/>
      <name val="Segoe UI"/>
    </font>
    <font>
      <b/>
      <color rgb="FF047857"/>
      <sz val="16"/>
      <name val="Segoe UI"/>
    </font>
    <font>
      <color rgb="FF44524B"/>
      <sz val="10"/>
      <name val="Segoe UI"/>
    </font>
    <font>
      <b/>
      <color rgb="FFFFFFFF"/>
      <sz val="11"/>
      <name val="Segoe UI"/>
    </font>
    <font>
      <color rgb="FF44524B"/>
      <sz val="10.5"/>
      <name val="Segoe UI"/>
    </font>
    <font>
      <b/>
      <color rgb="FF047857"/>
      <sz val="14"/>
      <name val="Segoe UI"/>
    </font>
    <font>
      <b/>
      <color rgb="FF44524B"/>
      <sz val="9.5"/>
      <name val="Segoe UI"/>
    </font>
    <font>
      <color rgb="FF15211C"/>
      <sz val="10"/>
      <name val="Segoe UI"/>
    </font>
    <font>
      <b/>
      <u/>
      <color rgb="FF1E40AF"/>
      <sz val="10"/>
      <name val="Segoe UI"/>
    </font>
    <font>
      <i/>
      <color rgb="FF9AA7A0"/>
      <sz val="9.5"/>
      <name val="Segoe UI"/>
    </font>
    <font>
      <b/>
      <color rgb="FF047857"/>
      <sz val="15"/>
      <name val="Segoe UI"/>
    </font>
    <font>
      <color rgb="FF44524B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3F7F5"/>
      </patternFill>
    </fill>
    <fill>
      <patternFill patternType="solid">
        <fgColor rgb="FF05966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35C43"/>
      </bottom>
      <diagonal/>
    </border>
    <border>
      <left/>
      <right/>
      <top/>
      <bottom style="hair">
        <color rgb="FFDDE5E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3" fontId="3" fillId="0" borderId="2" xfId="0" applyNumberFormat="1" applyFont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3" fillId="3" borderId="2" xfId="0" applyFont="1" applyFill="1" applyBorder="1" applyAlignment="1">
      <alignment vertical="top" wrapText="1"/>
    </xf>
    <xf numFmtId="0" fontId="14" fillId="3" borderId="2" xfId="0" applyFont="1" applyFill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3" fontId="19" fillId="0" borderId="2" xfId="0" applyNumberFormat="1" applyFont="1" applyBorder="1" applyAlignment="1">
      <alignment horizontal="right" vertical="center"/>
    </xf>
    <xf numFmtId="9" fontId="19" fillId="0" borderId="2" xfId="0" applyNumberFormat="1" applyFont="1" applyBorder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2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2" xfId="0" applyFont="1" applyBorder="1" applyAlignment="1">
      <alignment vertical="top" wrapText="1"/>
    </xf>
    <xf numFmtId="0" fontId="24" fillId="0" borderId="0" xfId="0" applyFont="1"/>
    <xf numFmtId="0" fontId="25" fillId="0" borderId="0" xfId="0" applyFont="1" applyAlignment="1">
      <alignment wrapText="1"/>
    </xf>
    <xf numFmtId="0" fontId="17" fillId="2" borderId="0" xfId="0" applyFont="1" applyFill="1" applyAlignment="1">
      <alignment vertical="center"/>
    </xf>
    <xf numFmtId="0" fontId="0" fillId="2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8">
    <dxf>
      <font>
        <b/>
        <color rgb="FF0A6B34"/>
      </font>
      <fill>
        <patternFill patternType="solid">
          <bgColor rgb="FFCDEFD8"/>
        </patternFill>
      </fill>
    </dxf>
    <dxf>
      <font>
        <b/>
        <color rgb="FFB42318"/>
      </font>
      <fill>
        <patternFill patternType="solid">
          <bgColor rgb="FFF7D6D3"/>
        </patternFill>
      </fill>
    </dxf>
    <dxf>
      <font>
        <b/>
        <color rgb="FF1E40AF"/>
      </font>
      <fill>
        <patternFill patternType="solid">
          <bgColor rgb="FFD7E4FB"/>
        </patternFill>
      </fill>
    </dxf>
    <dxf>
      <font>
        <b/>
        <color rgb="FF8A5A08"/>
      </font>
      <fill>
        <patternFill patternType="solid">
          <bgColor rgb="FFFCEAC6"/>
        </patternFill>
      </fill>
    </dxf>
    <dxf>
      <font>
        <b/>
        <color rgb="FF6B7280"/>
      </font>
      <fill>
        <patternFill patternType="solid">
          <bgColor rgb="FFEBEEF0"/>
        </patternFill>
      </fill>
    </dxf>
    <dxf>
      <font>
        <b/>
        <color rgb="FFB42318"/>
      </font>
    </dxf>
    <dxf>
      <font>
        <color rgb="FF8A5A08"/>
      </font>
    </dxf>
    <dxf>
      <font>
        <color rgb="FF6B72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hrea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13" customWidth="1"/>
    <col min="4" max="4" width="12" customWidth="1"/>
    <col min="5" max="6" width="22" customWidth="1"/>
    <col min="7" max="7" width="26" customWidth="1"/>
    <col min="8" max="8" width="46" customWidth="1"/>
    <col min="9" max="10" width="44" customWidth="1"/>
    <col min="11" max="11" width="42" customWidth="1"/>
    <col min="12" max="12" width="36" customWidth="1"/>
    <col min="13" max="13" width="30" customWidth="1"/>
    <col min="14" max="14" width="24" customWidth="1"/>
    <col min="15" max="15" width="12" customWidth="1"/>
    <col min="16" max="16" width="11" customWidth="1"/>
    <col min="17" max="17" width="15" customWidth="1"/>
    <col min="18" max="18" width="26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74" customHeight="1" spans="1:18" x14ac:dyDescent="0.25">
      <c r="A2" s="2">
        <v>1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3" t="s">
        <v>23</v>
      </c>
      <c r="H2" s="5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6" t="s">
        <v>20</v>
      </c>
      <c r="P2" s="6" t="s">
        <v>20</v>
      </c>
      <c r="Q2" s="6" t="s">
        <v>20</v>
      </c>
      <c r="R2" s="3" t="s">
        <v>20</v>
      </c>
    </row>
    <row r="3" ht="82" customHeight="1" spans="1:18" x14ac:dyDescent="0.25">
      <c r="A3" s="7">
        <v>2</v>
      </c>
      <c r="B3" s="8" t="s">
        <v>18</v>
      </c>
      <c r="C3" s="8" t="s">
        <v>19</v>
      </c>
      <c r="D3" s="8" t="s">
        <v>20</v>
      </c>
      <c r="E3" s="9" t="s">
        <v>21</v>
      </c>
      <c r="F3" s="8" t="s">
        <v>31</v>
      </c>
      <c r="G3" s="8" t="s">
        <v>32</v>
      </c>
      <c r="H3" s="10" t="s">
        <v>33</v>
      </c>
      <c r="I3" s="8" t="s">
        <v>34</v>
      </c>
      <c r="J3" s="8" t="s">
        <v>35</v>
      </c>
      <c r="K3" s="8" t="s">
        <v>20</v>
      </c>
      <c r="L3" s="8" t="s">
        <v>36</v>
      </c>
      <c r="M3" s="8" t="s">
        <v>37</v>
      </c>
      <c r="N3" s="8" t="s">
        <v>38</v>
      </c>
      <c r="O3" s="11" t="s">
        <v>20</v>
      </c>
      <c r="P3" s="11" t="s">
        <v>20</v>
      </c>
      <c r="Q3" s="11" t="s">
        <v>20</v>
      </c>
      <c r="R3" s="8" t="s">
        <v>20</v>
      </c>
    </row>
    <row r="4" ht="74" customHeight="1" spans="1:18" x14ac:dyDescent="0.25">
      <c r="A4" s="2">
        <v>3</v>
      </c>
      <c r="B4" s="3" t="s">
        <v>18</v>
      </c>
      <c r="C4" s="3" t="s">
        <v>19</v>
      </c>
      <c r="D4" s="3" t="s">
        <v>20</v>
      </c>
      <c r="E4" s="4" t="s">
        <v>21</v>
      </c>
      <c r="F4" s="3" t="s">
        <v>39</v>
      </c>
      <c r="G4" s="3" t="s">
        <v>40</v>
      </c>
      <c r="H4" s="5" t="s">
        <v>41</v>
      </c>
      <c r="I4" s="3" t="s">
        <v>42</v>
      </c>
      <c r="J4" s="3" t="s">
        <v>43</v>
      </c>
      <c r="K4" s="3" t="s">
        <v>20</v>
      </c>
      <c r="L4" s="3" t="s">
        <v>44</v>
      </c>
      <c r="M4" s="3" t="s">
        <v>45</v>
      </c>
      <c r="N4" s="3" t="s">
        <v>46</v>
      </c>
      <c r="O4" s="6" t="s">
        <v>20</v>
      </c>
      <c r="P4" s="6" t="s">
        <v>20</v>
      </c>
      <c r="Q4" s="6" t="s">
        <v>20</v>
      </c>
      <c r="R4" s="3" t="s">
        <v>20</v>
      </c>
    </row>
    <row r="5" ht="74" customHeight="1" spans="1:18" x14ac:dyDescent="0.25">
      <c r="A5" s="7">
        <v>4</v>
      </c>
      <c r="B5" s="8" t="s">
        <v>18</v>
      </c>
      <c r="C5" s="8" t="s">
        <v>19</v>
      </c>
      <c r="D5" s="8" t="s">
        <v>20</v>
      </c>
      <c r="E5" s="9" t="s">
        <v>21</v>
      </c>
      <c r="F5" s="8" t="s">
        <v>22</v>
      </c>
      <c r="G5" s="8" t="s">
        <v>47</v>
      </c>
      <c r="H5" s="10" t="s">
        <v>48</v>
      </c>
      <c r="I5" s="8" t="s">
        <v>49</v>
      </c>
      <c r="J5" s="8" t="s">
        <v>50</v>
      </c>
      <c r="K5" s="8" t="s">
        <v>20</v>
      </c>
      <c r="L5" s="8" t="s">
        <v>51</v>
      </c>
      <c r="M5" s="8" t="s">
        <v>29</v>
      </c>
      <c r="N5" s="8" t="s">
        <v>38</v>
      </c>
      <c r="O5" s="11" t="s">
        <v>20</v>
      </c>
      <c r="P5" s="11" t="s">
        <v>20</v>
      </c>
      <c r="Q5" s="11" t="s">
        <v>20</v>
      </c>
      <c r="R5" s="8" t="s">
        <v>20</v>
      </c>
    </row>
    <row r="6" ht="74" customHeight="1" spans="1:18" x14ac:dyDescent="0.25">
      <c r="A6" s="2">
        <v>5</v>
      </c>
      <c r="B6" s="3" t="s">
        <v>18</v>
      </c>
      <c r="C6" s="3" t="s">
        <v>19</v>
      </c>
      <c r="D6" s="3" t="s">
        <v>20</v>
      </c>
      <c r="E6" s="4" t="s">
        <v>21</v>
      </c>
      <c r="F6" s="3" t="s">
        <v>52</v>
      </c>
      <c r="G6" s="3" t="s">
        <v>53</v>
      </c>
      <c r="H6" s="5" t="s">
        <v>54</v>
      </c>
      <c r="I6" s="3" t="s">
        <v>55</v>
      </c>
      <c r="J6" s="3" t="s">
        <v>56</v>
      </c>
      <c r="K6" s="3" t="s">
        <v>20</v>
      </c>
      <c r="L6" s="3" t="s">
        <v>57</v>
      </c>
      <c r="M6" s="3" t="s">
        <v>29</v>
      </c>
      <c r="N6" s="3" t="s">
        <v>38</v>
      </c>
      <c r="O6" s="6" t="s">
        <v>20</v>
      </c>
      <c r="P6" s="6" t="s">
        <v>20</v>
      </c>
      <c r="Q6" s="6" t="s">
        <v>20</v>
      </c>
      <c r="R6" s="3" t="s">
        <v>20</v>
      </c>
    </row>
    <row r="7" ht="74" customHeight="1" spans="1:18" x14ac:dyDescent="0.25">
      <c r="A7" s="7">
        <v>6</v>
      </c>
      <c r="B7" s="8" t="s">
        <v>18</v>
      </c>
      <c r="C7" s="8" t="s">
        <v>19</v>
      </c>
      <c r="D7" s="8" t="s">
        <v>20</v>
      </c>
      <c r="E7" s="12" t="s">
        <v>52</v>
      </c>
      <c r="F7" s="8" t="s">
        <v>52</v>
      </c>
      <c r="G7" s="8" t="s">
        <v>58</v>
      </c>
      <c r="H7" s="10" t="s">
        <v>59</v>
      </c>
      <c r="I7" s="8" t="s">
        <v>60</v>
      </c>
      <c r="J7" s="8" t="s">
        <v>61</v>
      </c>
      <c r="K7" s="8" t="s">
        <v>20</v>
      </c>
      <c r="L7" s="8" t="s">
        <v>62</v>
      </c>
      <c r="M7" s="8" t="s">
        <v>37</v>
      </c>
      <c r="N7" s="8" t="s">
        <v>63</v>
      </c>
      <c r="O7" s="11" t="s">
        <v>20</v>
      </c>
      <c r="P7" s="11" t="s">
        <v>20</v>
      </c>
      <c r="Q7" s="11" t="s">
        <v>20</v>
      </c>
      <c r="R7" s="8" t="s">
        <v>20</v>
      </c>
    </row>
    <row r="8" ht="74" customHeight="1" spans="1:18" x14ac:dyDescent="0.25">
      <c r="A8" s="2">
        <v>7</v>
      </c>
      <c r="B8" s="3" t="s">
        <v>18</v>
      </c>
      <c r="C8" s="3" t="s">
        <v>19</v>
      </c>
      <c r="D8" s="3" t="s">
        <v>20</v>
      </c>
      <c r="E8" s="13" t="s">
        <v>52</v>
      </c>
      <c r="F8" s="3" t="s">
        <v>52</v>
      </c>
      <c r="G8" s="3" t="s">
        <v>64</v>
      </c>
      <c r="H8" s="5" t="s">
        <v>65</v>
      </c>
      <c r="I8" s="3" t="s">
        <v>66</v>
      </c>
      <c r="J8" s="3" t="s">
        <v>67</v>
      </c>
      <c r="K8" s="3" t="s">
        <v>20</v>
      </c>
      <c r="L8" s="3" t="s">
        <v>68</v>
      </c>
      <c r="M8" s="3" t="s">
        <v>29</v>
      </c>
      <c r="N8" s="3" t="s">
        <v>69</v>
      </c>
      <c r="O8" s="6" t="s">
        <v>20</v>
      </c>
      <c r="P8" s="6" t="s">
        <v>20</v>
      </c>
      <c r="Q8" s="6" t="s">
        <v>20</v>
      </c>
      <c r="R8" s="3" t="s">
        <v>20</v>
      </c>
    </row>
    <row r="9" ht="74" customHeight="1" spans="1:18" x14ac:dyDescent="0.25">
      <c r="A9" s="7">
        <v>8</v>
      </c>
      <c r="B9" s="8" t="s">
        <v>18</v>
      </c>
      <c r="C9" s="8" t="s">
        <v>19</v>
      </c>
      <c r="D9" s="8" t="s">
        <v>20</v>
      </c>
      <c r="E9" s="12" t="s">
        <v>52</v>
      </c>
      <c r="F9" s="8" t="s">
        <v>52</v>
      </c>
      <c r="G9" s="8" t="s">
        <v>70</v>
      </c>
      <c r="H9" s="10" t="s">
        <v>71</v>
      </c>
      <c r="I9" s="8" t="s">
        <v>72</v>
      </c>
      <c r="J9" s="8" t="s">
        <v>73</v>
      </c>
      <c r="K9" s="8" t="s">
        <v>20</v>
      </c>
      <c r="L9" s="8" t="s">
        <v>74</v>
      </c>
      <c r="M9" s="8" t="s">
        <v>29</v>
      </c>
      <c r="N9" s="8" t="s">
        <v>75</v>
      </c>
      <c r="O9" s="11" t="s">
        <v>20</v>
      </c>
      <c r="P9" s="11" t="s">
        <v>20</v>
      </c>
      <c r="Q9" s="11" t="s">
        <v>20</v>
      </c>
      <c r="R9" s="8" t="s">
        <v>20</v>
      </c>
    </row>
    <row r="10" ht="74" customHeight="1" spans="1:18" x14ac:dyDescent="0.25">
      <c r="A10" s="2">
        <v>9</v>
      </c>
      <c r="B10" s="3" t="s">
        <v>18</v>
      </c>
      <c r="C10" s="3" t="s">
        <v>19</v>
      </c>
      <c r="D10" s="3" t="s">
        <v>20</v>
      </c>
      <c r="E10" s="13" t="s">
        <v>52</v>
      </c>
      <c r="F10" s="3" t="s">
        <v>52</v>
      </c>
      <c r="G10" s="3" t="s">
        <v>76</v>
      </c>
      <c r="H10" s="5" t="s">
        <v>77</v>
      </c>
      <c r="I10" s="3" t="s">
        <v>78</v>
      </c>
      <c r="J10" s="3" t="s">
        <v>79</v>
      </c>
      <c r="K10" s="3" t="s">
        <v>20</v>
      </c>
      <c r="L10" s="3" t="s">
        <v>80</v>
      </c>
      <c r="M10" s="3" t="s">
        <v>29</v>
      </c>
      <c r="N10" s="3" t="s">
        <v>81</v>
      </c>
      <c r="O10" s="6" t="s">
        <v>20</v>
      </c>
      <c r="P10" s="6" t="s">
        <v>20</v>
      </c>
      <c r="Q10" s="6" t="s">
        <v>20</v>
      </c>
      <c r="R10" s="3" t="s">
        <v>20</v>
      </c>
    </row>
    <row r="11" ht="74" customHeight="1" spans="1:18" x14ac:dyDescent="0.25">
      <c r="A11" s="7">
        <v>10</v>
      </c>
      <c r="B11" s="8" t="s">
        <v>18</v>
      </c>
      <c r="C11" s="8" t="s">
        <v>19</v>
      </c>
      <c r="D11" s="8" t="s">
        <v>20</v>
      </c>
      <c r="E11" s="14" t="s">
        <v>82</v>
      </c>
      <c r="F11" s="8" t="s">
        <v>83</v>
      </c>
      <c r="G11" s="8" t="s">
        <v>84</v>
      </c>
      <c r="H11" s="10" t="s">
        <v>85</v>
      </c>
      <c r="I11" s="8" t="s">
        <v>86</v>
      </c>
      <c r="J11" s="8" t="s">
        <v>87</v>
      </c>
      <c r="K11" s="8" t="s">
        <v>20</v>
      </c>
      <c r="L11" s="8" t="s">
        <v>88</v>
      </c>
      <c r="M11" s="8" t="s">
        <v>29</v>
      </c>
      <c r="N11" s="8" t="s">
        <v>89</v>
      </c>
      <c r="O11" s="11" t="s">
        <v>20</v>
      </c>
      <c r="P11" s="11" t="s">
        <v>20</v>
      </c>
      <c r="Q11" s="11" t="s">
        <v>20</v>
      </c>
      <c r="R11" s="8" t="s">
        <v>20</v>
      </c>
    </row>
    <row r="12" ht="74" customHeight="1" spans="1:18" x14ac:dyDescent="0.25">
      <c r="A12" s="2">
        <v>11</v>
      </c>
      <c r="B12" s="3" t="s">
        <v>18</v>
      </c>
      <c r="C12" s="3" t="s">
        <v>19</v>
      </c>
      <c r="D12" s="3" t="s">
        <v>20</v>
      </c>
      <c r="E12" s="15" t="s">
        <v>82</v>
      </c>
      <c r="F12" s="3" t="s">
        <v>83</v>
      </c>
      <c r="G12" s="3" t="s">
        <v>90</v>
      </c>
      <c r="H12" s="5" t="s">
        <v>91</v>
      </c>
      <c r="I12" s="3" t="s">
        <v>92</v>
      </c>
      <c r="J12" s="3" t="s">
        <v>93</v>
      </c>
      <c r="K12" s="3" t="s">
        <v>20</v>
      </c>
      <c r="L12" s="3" t="s">
        <v>94</v>
      </c>
      <c r="M12" s="3" t="s">
        <v>29</v>
      </c>
      <c r="N12" s="3" t="s">
        <v>95</v>
      </c>
      <c r="O12" s="6" t="s">
        <v>20</v>
      </c>
      <c r="P12" s="6" t="s">
        <v>20</v>
      </c>
      <c r="Q12" s="6" t="s">
        <v>20</v>
      </c>
      <c r="R12" s="3" t="s">
        <v>20</v>
      </c>
    </row>
    <row r="13" ht="74" customHeight="1" spans="1:18" x14ac:dyDescent="0.25">
      <c r="A13" s="7">
        <v>12</v>
      </c>
      <c r="B13" s="8" t="s">
        <v>18</v>
      </c>
      <c r="C13" s="8" t="s">
        <v>19</v>
      </c>
      <c r="D13" s="8" t="s">
        <v>20</v>
      </c>
      <c r="E13" s="14" t="s">
        <v>82</v>
      </c>
      <c r="F13" s="8" t="s">
        <v>83</v>
      </c>
      <c r="G13" s="8" t="s">
        <v>96</v>
      </c>
      <c r="H13" s="10" t="s">
        <v>97</v>
      </c>
      <c r="I13" s="8" t="s">
        <v>98</v>
      </c>
      <c r="J13" s="8" t="s">
        <v>99</v>
      </c>
      <c r="K13" s="8" t="s">
        <v>20</v>
      </c>
      <c r="L13" s="8" t="s">
        <v>100</v>
      </c>
      <c r="M13" s="8" t="s">
        <v>29</v>
      </c>
      <c r="N13" s="8" t="s">
        <v>101</v>
      </c>
      <c r="O13" s="11" t="s">
        <v>20</v>
      </c>
      <c r="P13" s="11" t="s">
        <v>20</v>
      </c>
      <c r="Q13" s="11" t="s">
        <v>20</v>
      </c>
      <c r="R13" s="8" t="s">
        <v>20</v>
      </c>
    </row>
    <row r="14" ht="74" customHeight="1" spans="1:18" x14ac:dyDescent="0.25">
      <c r="A14" s="2">
        <v>13</v>
      </c>
      <c r="B14" s="3" t="s">
        <v>18</v>
      </c>
      <c r="C14" s="3" t="s">
        <v>19</v>
      </c>
      <c r="D14" s="3" t="s">
        <v>20</v>
      </c>
      <c r="E14" s="15" t="s">
        <v>82</v>
      </c>
      <c r="F14" s="3" t="s">
        <v>83</v>
      </c>
      <c r="G14" s="3" t="s">
        <v>102</v>
      </c>
      <c r="H14" s="5" t="s">
        <v>103</v>
      </c>
      <c r="I14" s="3" t="s">
        <v>104</v>
      </c>
      <c r="J14" s="3" t="s">
        <v>105</v>
      </c>
      <c r="K14" s="3" t="s">
        <v>20</v>
      </c>
      <c r="L14" s="3" t="s">
        <v>106</v>
      </c>
      <c r="M14" s="3" t="s">
        <v>29</v>
      </c>
      <c r="N14" s="3" t="s">
        <v>107</v>
      </c>
      <c r="O14" s="6" t="s">
        <v>20</v>
      </c>
      <c r="P14" s="6" t="s">
        <v>20</v>
      </c>
      <c r="Q14" s="6" t="s">
        <v>20</v>
      </c>
      <c r="R14" s="3" t="s">
        <v>20</v>
      </c>
    </row>
    <row r="15" ht="74" customHeight="1" spans="1:18" x14ac:dyDescent="0.25">
      <c r="A15" s="7">
        <v>14</v>
      </c>
      <c r="B15" s="8" t="s">
        <v>18</v>
      </c>
      <c r="C15" s="8" t="s">
        <v>19</v>
      </c>
      <c r="D15" s="8" t="s">
        <v>20</v>
      </c>
      <c r="E15" s="14" t="s">
        <v>82</v>
      </c>
      <c r="F15" s="8" t="s">
        <v>83</v>
      </c>
      <c r="G15" s="8" t="s">
        <v>108</v>
      </c>
      <c r="H15" s="10" t="s">
        <v>109</v>
      </c>
      <c r="I15" s="8" t="s">
        <v>110</v>
      </c>
      <c r="J15" s="8" t="s">
        <v>111</v>
      </c>
      <c r="K15" s="8" t="s">
        <v>20</v>
      </c>
      <c r="L15" s="8" t="s">
        <v>112</v>
      </c>
      <c r="M15" s="8" t="s">
        <v>29</v>
      </c>
      <c r="N15" s="8" t="s">
        <v>113</v>
      </c>
      <c r="O15" s="11" t="s">
        <v>20</v>
      </c>
      <c r="P15" s="11" t="s">
        <v>20</v>
      </c>
      <c r="Q15" s="11" t="s">
        <v>20</v>
      </c>
      <c r="R15" s="8" t="s">
        <v>20</v>
      </c>
    </row>
    <row r="16" ht="74" customHeight="1" spans="1:18" x14ac:dyDescent="0.25">
      <c r="A16" s="2">
        <v>15</v>
      </c>
      <c r="B16" s="3" t="s">
        <v>18</v>
      </c>
      <c r="C16" s="3" t="s">
        <v>19</v>
      </c>
      <c r="D16" s="3" t="s">
        <v>20</v>
      </c>
      <c r="E16" s="15" t="s">
        <v>82</v>
      </c>
      <c r="F16" s="3" t="s">
        <v>83</v>
      </c>
      <c r="G16" s="3" t="s">
        <v>114</v>
      </c>
      <c r="H16" s="5" t="s">
        <v>115</v>
      </c>
      <c r="I16" s="3" t="s">
        <v>116</v>
      </c>
      <c r="J16" s="3" t="s">
        <v>117</v>
      </c>
      <c r="K16" s="3" t="s">
        <v>20</v>
      </c>
      <c r="L16" s="3" t="s">
        <v>118</v>
      </c>
      <c r="M16" s="3" t="s">
        <v>29</v>
      </c>
      <c r="N16" s="3" t="s">
        <v>119</v>
      </c>
      <c r="O16" s="6" t="s">
        <v>20</v>
      </c>
      <c r="P16" s="6" t="s">
        <v>20</v>
      </c>
      <c r="Q16" s="6" t="s">
        <v>20</v>
      </c>
      <c r="R16" s="3" t="s">
        <v>20</v>
      </c>
    </row>
    <row r="17" ht="74" customHeight="1" spans="1:18" x14ac:dyDescent="0.25">
      <c r="A17" s="7">
        <v>16</v>
      </c>
      <c r="B17" s="8" t="s">
        <v>18</v>
      </c>
      <c r="C17" s="8" t="s">
        <v>19</v>
      </c>
      <c r="D17" s="8" t="s">
        <v>20</v>
      </c>
      <c r="E17" s="14" t="s">
        <v>82</v>
      </c>
      <c r="F17" s="8" t="s">
        <v>83</v>
      </c>
      <c r="G17" s="8" t="s">
        <v>120</v>
      </c>
      <c r="H17" s="10" t="s">
        <v>121</v>
      </c>
      <c r="I17" s="8" t="s">
        <v>122</v>
      </c>
      <c r="J17" s="8" t="s">
        <v>123</v>
      </c>
      <c r="K17" s="8" t="s">
        <v>20</v>
      </c>
      <c r="L17" s="8" t="s">
        <v>124</v>
      </c>
      <c r="M17" s="8" t="s">
        <v>29</v>
      </c>
      <c r="N17" s="8" t="s">
        <v>107</v>
      </c>
      <c r="O17" s="11" t="s">
        <v>20</v>
      </c>
      <c r="P17" s="11" t="s">
        <v>20</v>
      </c>
      <c r="Q17" s="11" t="s">
        <v>20</v>
      </c>
      <c r="R17" s="8" t="s">
        <v>20</v>
      </c>
    </row>
    <row r="18" ht="74" customHeight="1" spans="1:18" x14ac:dyDescent="0.25">
      <c r="A18" s="2">
        <v>17</v>
      </c>
      <c r="B18" s="3" t="s">
        <v>18</v>
      </c>
      <c r="C18" s="3" t="s">
        <v>19</v>
      </c>
      <c r="D18" s="3" t="s">
        <v>20</v>
      </c>
      <c r="E18" s="16" t="s">
        <v>125</v>
      </c>
      <c r="F18" s="3" t="s">
        <v>126</v>
      </c>
      <c r="G18" s="3" t="s">
        <v>127</v>
      </c>
      <c r="H18" s="5" t="s">
        <v>128</v>
      </c>
      <c r="I18" s="3" t="s">
        <v>129</v>
      </c>
      <c r="J18" s="3" t="s">
        <v>130</v>
      </c>
      <c r="K18" s="3" t="s">
        <v>20</v>
      </c>
      <c r="L18" s="3" t="s">
        <v>131</v>
      </c>
      <c r="M18" s="3" t="s">
        <v>29</v>
      </c>
      <c r="N18" s="3" t="s">
        <v>132</v>
      </c>
      <c r="O18" s="6" t="s">
        <v>20</v>
      </c>
      <c r="P18" s="6" t="s">
        <v>20</v>
      </c>
      <c r="Q18" s="6" t="s">
        <v>20</v>
      </c>
      <c r="R18" s="3" t="s">
        <v>20</v>
      </c>
    </row>
    <row r="19" ht="74" customHeight="1" spans="1:18" x14ac:dyDescent="0.25">
      <c r="A19" s="7">
        <v>18</v>
      </c>
      <c r="B19" s="8" t="s">
        <v>18</v>
      </c>
      <c r="C19" s="8" t="s">
        <v>19</v>
      </c>
      <c r="D19" s="8" t="s">
        <v>20</v>
      </c>
      <c r="E19" s="17" t="s">
        <v>125</v>
      </c>
      <c r="F19" s="8" t="s">
        <v>133</v>
      </c>
      <c r="G19" s="8" t="s">
        <v>134</v>
      </c>
      <c r="H19" s="10" t="s">
        <v>135</v>
      </c>
      <c r="I19" s="8" t="s">
        <v>136</v>
      </c>
      <c r="J19" s="8" t="s">
        <v>137</v>
      </c>
      <c r="K19" s="8" t="s">
        <v>20</v>
      </c>
      <c r="L19" s="8" t="s">
        <v>138</v>
      </c>
      <c r="M19" s="8" t="s">
        <v>29</v>
      </c>
      <c r="N19" s="8" t="s">
        <v>139</v>
      </c>
      <c r="O19" s="11" t="s">
        <v>20</v>
      </c>
      <c r="P19" s="11" t="s">
        <v>20</v>
      </c>
      <c r="Q19" s="11" t="s">
        <v>20</v>
      </c>
      <c r="R19" s="8" t="s">
        <v>20</v>
      </c>
    </row>
    <row r="20" ht="74" customHeight="1" spans="1:18" x14ac:dyDescent="0.25">
      <c r="A20" s="2">
        <v>19</v>
      </c>
      <c r="B20" s="3" t="s">
        <v>18</v>
      </c>
      <c r="C20" s="3" t="s">
        <v>19</v>
      </c>
      <c r="D20" s="3" t="s">
        <v>20</v>
      </c>
      <c r="E20" s="16" t="s">
        <v>125</v>
      </c>
      <c r="F20" s="3" t="s">
        <v>140</v>
      </c>
      <c r="G20" s="3" t="s">
        <v>141</v>
      </c>
      <c r="H20" s="5" t="s">
        <v>142</v>
      </c>
      <c r="I20" s="3" t="s">
        <v>143</v>
      </c>
      <c r="J20" s="3" t="s">
        <v>144</v>
      </c>
      <c r="K20" s="3" t="s">
        <v>20</v>
      </c>
      <c r="L20" s="3" t="s">
        <v>145</v>
      </c>
      <c r="M20" s="3" t="s">
        <v>29</v>
      </c>
      <c r="N20" s="3" t="s">
        <v>146</v>
      </c>
      <c r="O20" s="6" t="s">
        <v>20</v>
      </c>
      <c r="P20" s="6" t="s">
        <v>20</v>
      </c>
      <c r="Q20" s="6" t="s">
        <v>20</v>
      </c>
      <c r="R20" s="3" t="s">
        <v>20</v>
      </c>
    </row>
    <row r="21" ht="74" customHeight="1" spans="1:18" x14ac:dyDescent="0.25">
      <c r="A21" s="7">
        <v>20</v>
      </c>
      <c r="B21" s="8" t="s">
        <v>18</v>
      </c>
      <c r="C21" s="8" t="s">
        <v>19</v>
      </c>
      <c r="D21" s="8" t="s">
        <v>20</v>
      </c>
      <c r="E21" s="17" t="s">
        <v>125</v>
      </c>
      <c r="F21" s="8" t="s">
        <v>147</v>
      </c>
      <c r="G21" s="8" t="s">
        <v>148</v>
      </c>
      <c r="H21" s="10" t="s">
        <v>149</v>
      </c>
      <c r="I21" s="8" t="s">
        <v>150</v>
      </c>
      <c r="J21" s="8" t="s">
        <v>151</v>
      </c>
      <c r="K21" s="8" t="s">
        <v>20</v>
      </c>
      <c r="L21" s="8" t="s">
        <v>152</v>
      </c>
      <c r="M21" s="8" t="s">
        <v>29</v>
      </c>
      <c r="N21" s="8" t="s">
        <v>139</v>
      </c>
      <c r="O21" s="11" t="s">
        <v>20</v>
      </c>
      <c r="P21" s="11" t="s">
        <v>20</v>
      </c>
      <c r="Q21" s="11" t="s">
        <v>20</v>
      </c>
      <c r="R21" s="8" t="s">
        <v>20</v>
      </c>
    </row>
    <row r="22" ht="74" customHeight="1" spans="1:18" x14ac:dyDescent="0.25">
      <c r="A22" s="2">
        <v>21</v>
      </c>
      <c r="B22" s="3" t="s">
        <v>18</v>
      </c>
      <c r="C22" s="3" t="s">
        <v>19</v>
      </c>
      <c r="D22" s="3" t="s">
        <v>20</v>
      </c>
      <c r="E22" s="16" t="s">
        <v>125</v>
      </c>
      <c r="F22" s="3" t="s">
        <v>153</v>
      </c>
      <c r="G22" s="3" t="s">
        <v>154</v>
      </c>
      <c r="H22" s="5" t="s">
        <v>155</v>
      </c>
      <c r="I22" s="3" t="s">
        <v>156</v>
      </c>
      <c r="J22" s="3" t="s">
        <v>157</v>
      </c>
      <c r="K22" s="3" t="s">
        <v>20</v>
      </c>
      <c r="L22" s="3" t="s">
        <v>158</v>
      </c>
      <c r="M22" s="3" t="s">
        <v>45</v>
      </c>
      <c r="N22" s="3" t="s">
        <v>139</v>
      </c>
      <c r="O22" s="6" t="s">
        <v>20</v>
      </c>
      <c r="P22" s="6" t="s">
        <v>20</v>
      </c>
      <c r="Q22" s="6" t="s">
        <v>20</v>
      </c>
      <c r="R22" s="3" t="s">
        <v>20</v>
      </c>
    </row>
    <row r="23" ht="74" customHeight="1" spans="1:18" x14ac:dyDescent="0.25">
      <c r="A23" s="7">
        <v>22</v>
      </c>
      <c r="B23" s="8" t="s">
        <v>18</v>
      </c>
      <c r="C23" s="8" t="s">
        <v>19</v>
      </c>
      <c r="D23" s="8" t="s">
        <v>20</v>
      </c>
      <c r="E23" s="18" t="s">
        <v>159</v>
      </c>
      <c r="F23" s="8" t="s">
        <v>160</v>
      </c>
      <c r="G23" s="8" t="s">
        <v>161</v>
      </c>
      <c r="H23" s="10" t="s">
        <v>162</v>
      </c>
      <c r="I23" s="8" t="s">
        <v>163</v>
      </c>
      <c r="J23" s="8" t="s">
        <v>164</v>
      </c>
      <c r="K23" s="8" t="s">
        <v>20</v>
      </c>
      <c r="L23" s="8" t="s">
        <v>165</v>
      </c>
      <c r="M23" s="8" t="s">
        <v>37</v>
      </c>
      <c r="N23" s="8" t="s">
        <v>166</v>
      </c>
      <c r="O23" s="11" t="s">
        <v>20</v>
      </c>
      <c r="P23" s="11" t="s">
        <v>20</v>
      </c>
      <c r="Q23" s="11" t="s">
        <v>20</v>
      </c>
      <c r="R23" s="8" t="s">
        <v>20</v>
      </c>
    </row>
    <row r="24" ht="74" customHeight="1" spans="1:18" x14ac:dyDescent="0.25">
      <c r="A24" s="2">
        <v>23</v>
      </c>
      <c r="B24" s="3" t="s">
        <v>18</v>
      </c>
      <c r="C24" s="3" t="s">
        <v>19</v>
      </c>
      <c r="D24" s="3" t="s">
        <v>20</v>
      </c>
      <c r="E24" s="19" t="s">
        <v>159</v>
      </c>
      <c r="F24" s="3" t="s">
        <v>167</v>
      </c>
      <c r="G24" s="3" t="s">
        <v>168</v>
      </c>
      <c r="H24" s="5" t="s">
        <v>169</v>
      </c>
      <c r="I24" s="3" t="s">
        <v>170</v>
      </c>
      <c r="J24" s="3" t="s">
        <v>171</v>
      </c>
      <c r="K24" s="3" t="s">
        <v>20</v>
      </c>
      <c r="L24" s="3" t="s">
        <v>172</v>
      </c>
      <c r="M24" s="3" t="s">
        <v>45</v>
      </c>
      <c r="N24" s="3" t="s">
        <v>173</v>
      </c>
      <c r="O24" s="6" t="s">
        <v>20</v>
      </c>
      <c r="P24" s="6" t="s">
        <v>20</v>
      </c>
      <c r="Q24" s="6" t="s">
        <v>20</v>
      </c>
      <c r="R24" s="3" t="s">
        <v>20</v>
      </c>
    </row>
    <row r="25" ht="74" customHeight="1" spans="1:18" x14ac:dyDescent="0.25">
      <c r="A25" s="7">
        <v>24</v>
      </c>
      <c r="B25" s="8" t="s">
        <v>18</v>
      </c>
      <c r="C25" s="8" t="s">
        <v>19</v>
      </c>
      <c r="D25" s="8" t="s">
        <v>20</v>
      </c>
      <c r="E25" s="18" t="s">
        <v>159</v>
      </c>
      <c r="F25" s="8" t="s">
        <v>174</v>
      </c>
      <c r="G25" s="8" t="s">
        <v>175</v>
      </c>
      <c r="H25" s="10" t="s">
        <v>176</v>
      </c>
      <c r="I25" s="8" t="s">
        <v>177</v>
      </c>
      <c r="J25" s="8" t="s">
        <v>178</v>
      </c>
      <c r="K25" s="8" t="s">
        <v>20</v>
      </c>
      <c r="L25" s="8" t="s">
        <v>158</v>
      </c>
      <c r="M25" s="8" t="s">
        <v>37</v>
      </c>
      <c r="N25" s="8" t="s">
        <v>179</v>
      </c>
      <c r="O25" s="11" t="s">
        <v>20</v>
      </c>
      <c r="P25" s="11" t="s">
        <v>20</v>
      </c>
      <c r="Q25" s="11" t="s">
        <v>20</v>
      </c>
      <c r="R25" s="8" t="s">
        <v>20</v>
      </c>
    </row>
    <row r="26" ht="74" customHeight="1" spans="1:18" x14ac:dyDescent="0.25">
      <c r="A26" s="2">
        <v>25</v>
      </c>
      <c r="B26" s="3" t="s">
        <v>18</v>
      </c>
      <c r="C26" s="3" t="s">
        <v>19</v>
      </c>
      <c r="D26" s="3" t="s">
        <v>20</v>
      </c>
      <c r="E26" s="19" t="s">
        <v>159</v>
      </c>
      <c r="F26" s="3" t="s">
        <v>180</v>
      </c>
      <c r="G26" s="3" t="s">
        <v>181</v>
      </c>
      <c r="H26" s="5" t="s">
        <v>182</v>
      </c>
      <c r="I26" s="3" t="s">
        <v>183</v>
      </c>
      <c r="J26" s="3" t="s">
        <v>184</v>
      </c>
      <c r="K26" s="3" t="s">
        <v>20</v>
      </c>
      <c r="L26" s="3" t="s">
        <v>185</v>
      </c>
      <c r="M26" s="3" t="s">
        <v>45</v>
      </c>
      <c r="N26" s="3" t="s">
        <v>186</v>
      </c>
      <c r="O26" s="6" t="s">
        <v>20</v>
      </c>
      <c r="P26" s="6" t="s">
        <v>20</v>
      </c>
      <c r="Q26" s="6" t="s">
        <v>20</v>
      </c>
      <c r="R26" s="3" t="s">
        <v>20</v>
      </c>
    </row>
    <row r="27" ht="74" customHeight="1" spans="1:18" x14ac:dyDescent="0.25">
      <c r="A27" s="7">
        <v>26</v>
      </c>
      <c r="B27" s="8" t="s">
        <v>18</v>
      </c>
      <c r="C27" s="8" t="s">
        <v>19</v>
      </c>
      <c r="D27" s="8" t="s">
        <v>20</v>
      </c>
      <c r="E27" s="18" t="s">
        <v>159</v>
      </c>
      <c r="F27" s="8" t="s">
        <v>187</v>
      </c>
      <c r="G27" s="8" t="s">
        <v>188</v>
      </c>
      <c r="H27" s="10" t="s">
        <v>189</v>
      </c>
      <c r="I27" s="8" t="s">
        <v>190</v>
      </c>
      <c r="J27" s="8" t="s">
        <v>191</v>
      </c>
      <c r="K27" s="8" t="s">
        <v>20</v>
      </c>
      <c r="L27" s="8" t="s">
        <v>158</v>
      </c>
      <c r="M27" s="8" t="s">
        <v>45</v>
      </c>
      <c r="N27" s="8" t="s">
        <v>192</v>
      </c>
      <c r="O27" s="11" t="s">
        <v>20</v>
      </c>
      <c r="P27" s="11" t="s">
        <v>20</v>
      </c>
      <c r="Q27" s="11" t="s">
        <v>20</v>
      </c>
      <c r="R27" s="8" t="s">
        <v>20</v>
      </c>
    </row>
    <row r="28" ht="74" customHeight="1" spans="1:18" x14ac:dyDescent="0.25">
      <c r="A28" s="2">
        <v>27</v>
      </c>
      <c r="B28" s="3" t="s">
        <v>18</v>
      </c>
      <c r="C28" s="3" t="s">
        <v>19</v>
      </c>
      <c r="D28" s="3" t="s">
        <v>20</v>
      </c>
      <c r="E28" s="20" t="s">
        <v>193</v>
      </c>
      <c r="F28" s="3" t="s">
        <v>194</v>
      </c>
      <c r="G28" s="3" t="s">
        <v>195</v>
      </c>
      <c r="H28" s="5" t="s">
        <v>196</v>
      </c>
      <c r="I28" s="3" t="s">
        <v>197</v>
      </c>
      <c r="J28" s="3" t="s">
        <v>198</v>
      </c>
      <c r="K28" s="3" t="s">
        <v>20</v>
      </c>
      <c r="L28" s="3" t="s">
        <v>199</v>
      </c>
      <c r="M28" s="3" t="s">
        <v>29</v>
      </c>
      <c r="N28" s="3" t="s">
        <v>200</v>
      </c>
      <c r="O28" s="6" t="s">
        <v>20</v>
      </c>
      <c r="P28" s="6" t="s">
        <v>20</v>
      </c>
      <c r="Q28" s="6" t="s">
        <v>20</v>
      </c>
      <c r="R28" s="3" t="s">
        <v>20</v>
      </c>
    </row>
    <row r="29" ht="74" customHeight="1" spans="1:18" x14ac:dyDescent="0.25">
      <c r="A29" s="7">
        <v>28</v>
      </c>
      <c r="B29" s="8" t="s">
        <v>18</v>
      </c>
      <c r="C29" s="8" t="s">
        <v>19</v>
      </c>
      <c r="D29" s="8" t="s">
        <v>20</v>
      </c>
      <c r="E29" s="21" t="s">
        <v>193</v>
      </c>
      <c r="F29" s="8" t="s">
        <v>194</v>
      </c>
      <c r="G29" s="8" t="s">
        <v>201</v>
      </c>
      <c r="H29" s="10" t="s">
        <v>202</v>
      </c>
      <c r="I29" s="8" t="s">
        <v>203</v>
      </c>
      <c r="J29" s="8" t="s">
        <v>204</v>
      </c>
      <c r="K29" s="8" t="s">
        <v>20</v>
      </c>
      <c r="L29" s="8" t="s">
        <v>205</v>
      </c>
      <c r="M29" s="8" t="s">
        <v>29</v>
      </c>
      <c r="N29" s="8" t="s">
        <v>200</v>
      </c>
      <c r="O29" s="11" t="s">
        <v>20</v>
      </c>
      <c r="P29" s="11" t="s">
        <v>20</v>
      </c>
      <c r="Q29" s="11" t="s">
        <v>20</v>
      </c>
      <c r="R29" s="8" t="s">
        <v>20</v>
      </c>
    </row>
    <row r="30" ht="74" customHeight="1" spans="1:18" x14ac:dyDescent="0.25">
      <c r="A30" s="2">
        <v>29</v>
      </c>
      <c r="B30" s="3" t="s">
        <v>18</v>
      </c>
      <c r="C30" s="3" t="s">
        <v>19</v>
      </c>
      <c r="D30" s="3" t="s">
        <v>20</v>
      </c>
      <c r="E30" s="20" t="s">
        <v>193</v>
      </c>
      <c r="F30" s="3" t="s">
        <v>206</v>
      </c>
      <c r="G30" s="3" t="s">
        <v>207</v>
      </c>
      <c r="H30" s="5" t="s">
        <v>208</v>
      </c>
      <c r="I30" s="3" t="s">
        <v>209</v>
      </c>
      <c r="J30" s="3" t="s">
        <v>210</v>
      </c>
      <c r="K30" s="3" t="s">
        <v>20</v>
      </c>
      <c r="L30" s="3" t="s">
        <v>211</v>
      </c>
      <c r="M30" s="3" t="s">
        <v>29</v>
      </c>
      <c r="N30" s="3" t="s">
        <v>200</v>
      </c>
      <c r="O30" s="6" t="s">
        <v>20</v>
      </c>
      <c r="P30" s="6" t="s">
        <v>20</v>
      </c>
      <c r="Q30" s="6" t="s">
        <v>20</v>
      </c>
      <c r="R30" s="3" t="s">
        <v>20</v>
      </c>
    </row>
    <row r="31" ht="74" customHeight="1" spans="1:18" x14ac:dyDescent="0.25">
      <c r="A31" s="7">
        <v>30</v>
      </c>
      <c r="B31" s="8" t="s">
        <v>18</v>
      </c>
      <c r="C31" s="8" t="s">
        <v>19</v>
      </c>
      <c r="D31" s="8" t="s">
        <v>20</v>
      </c>
      <c r="E31" s="21" t="s">
        <v>193</v>
      </c>
      <c r="F31" s="8" t="s">
        <v>194</v>
      </c>
      <c r="G31" s="8" t="s">
        <v>212</v>
      </c>
      <c r="H31" s="10" t="s">
        <v>213</v>
      </c>
      <c r="I31" s="8" t="s">
        <v>214</v>
      </c>
      <c r="J31" s="8" t="s">
        <v>215</v>
      </c>
      <c r="K31" s="8" t="s">
        <v>20</v>
      </c>
      <c r="L31" s="8" t="s">
        <v>216</v>
      </c>
      <c r="M31" s="8" t="s">
        <v>29</v>
      </c>
      <c r="N31" s="8" t="s">
        <v>217</v>
      </c>
      <c r="O31" s="11" t="s">
        <v>20</v>
      </c>
      <c r="P31" s="11" t="s">
        <v>20</v>
      </c>
      <c r="Q31" s="11" t="s">
        <v>20</v>
      </c>
      <c r="R31" s="8" t="s">
        <v>20</v>
      </c>
    </row>
    <row r="32" ht="82" customHeight="1" spans="1:18" x14ac:dyDescent="0.25">
      <c r="A32" s="2">
        <v>31</v>
      </c>
      <c r="B32" s="3" t="s">
        <v>18</v>
      </c>
      <c r="C32" s="3" t="s">
        <v>19</v>
      </c>
      <c r="D32" s="3" t="s">
        <v>20</v>
      </c>
      <c r="E32" s="20" t="s">
        <v>193</v>
      </c>
      <c r="F32" s="3" t="s">
        <v>218</v>
      </c>
      <c r="G32" s="3" t="s">
        <v>219</v>
      </c>
      <c r="H32" s="5" t="s">
        <v>220</v>
      </c>
      <c r="I32" s="3" t="s">
        <v>221</v>
      </c>
      <c r="J32" s="3" t="s">
        <v>222</v>
      </c>
      <c r="K32" s="3" t="s">
        <v>20</v>
      </c>
      <c r="L32" s="3" t="s">
        <v>223</v>
      </c>
      <c r="M32" s="3" t="s">
        <v>29</v>
      </c>
      <c r="N32" s="3" t="s">
        <v>224</v>
      </c>
      <c r="O32" s="6" t="s">
        <v>20</v>
      </c>
      <c r="P32" s="6" t="s">
        <v>20</v>
      </c>
      <c r="Q32" s="6" t="s">
        <v>20</v>
      </c>
      <c r="R32" s="3" t="s">
        <v>20</v>
      </c>
    </row>
    <row r="33" ht="74" customHeight="1" spans="1:18" x14ac:dyDescent="0.25">
      <c r="A33" s="7">
        <v>32</v>
      </c>
      <c r="B33" s="8" t="s">
        <v>18</v>
      </c>
      <c r="C33" s="8" t="s">
        <v>19</v>
      </c>
      <c r="D33" s="8" t="s">
        <v>20</v>
      </c>
      <c r="E33" s="22" t="s">
        <v>46</v>
      </c>
      <c r="F33" s="8" t="s">
        <v>225</v>
      </c>
      <c r="G33" s="8" t="s">
        <v>226</v>
      </c>
      <c r="H33" s="10" t="s">
        <v>227</v>
      </c>
      <c r="I33" s="8" t="s">
        <v>228</v>
      </c>
      <c r="J33" s="8" t="s">
        <v>20</v>
      </c>
      <c r="K33" s="8" t="s">
        <v>20</v>
      </c>
      <c r="L33" s="8" t="s">
        <v>229</v>
      </c>
      <c r="M33" s="8" t="s">
        <v>45</v>
      </c>
      <c r="N33" s="8" t="s">
        <v>46</v>
      </c>
      <c r="O33" s="11" t="s">
        <v>20</v>
      </c>
      <c r="P33" s="11" t="s">
        <v>20</v>
      </c>
      <c r="Q33" s="11" t="s">
        <v>20</v>
      </c>
      <c r="R33" s="8" t="s">
        <v>20</v>
      </c>
    </row>
    <row r="34" ht="74" customHeight="1" spans="1:18" x14ac:dyDescent="0.25">
      <c r="A34" s="2">
        <v>33</v>
      </c>
      <c r="B34" s="3" t="s">
        <v>18</v>
      </c>
      <c r="C34" s="3" t="s">
        <v>19</v>
      </c>
      <c r="D34" s="3" t="s">
        <v>20</v>
      </c>
      <c r="E34" s="23" t="s">
        <v>46</v>
      </c>
      <c r="F34" s="3" t="s">
        <v>230</v>
      </c>
      <c r="G34" s="3" t="s">
        <v>231</v>
      </c>
      <c r="H34" s="5" t="s">
        <v>232</v>
      </c>
      <c r="I34" s="3" t="s">
        <v>233</v>
      </c>
      <c r="J34" s="3" t="s">
        <v>234</v>
      </c>
      <c r="K34" s="3" t="s">
        <v>20</v>
      </c>
      <c r="L34" s="3" t="s">
        <v>158</v>
      </c>
      <c r="M34" s="3" t="s">
        <v>45</v>
      </c>
      <c r="N34" s="3" t="s">
        <v>235</v>
      </c>
      <c r="O34" s="6" t="s">
        <v>20</v>
      </c>
      <c r="P34" s="6" t="s">
        <v>20</v>
      </c>
      <c r="Q34" s="6" t="s">
        <v>20</v>
      </c>
      <c r="R34" s="3" t="s">
        <v>20</v>
      </c>
    </row>
    <row r="35" ht="74" customHeight="1" spans="1:18" x14ac:dyDescent="0.25">
      <c r="A35" s="7">
        <v>34</v>
      </c>
      <c r="B35" s="8" t="s">
        <v>18</v>
      </c>
      <c r="C35" s="8" t="s">
        <v>19</v>
      </c>
      <c r="D35" s="8" t="s">
        <v>20</v>
      </c>
      <c r="E35" s="22" t="s">
        <v>46</v>
      </c>
      <c r="F35" s="8" t="s">
        <v>230</v>
      </c>
      <c r="G35" s="8" t="s">
        <v>236</v>
      </c>
      <c r="H35" s="10" t="s">
        <v>237</v>
      </c>
      <c r="I35" s="8" t="s">
        <v>238</v>
      </c>
      <c r="J35" s="8" t="s">
        <v>239</v>
      </c>
      <c r="K35" s="8" t="s">
        <v>20</v>
      </c>
      <c r="L35" s="8" t="s">
        <v>158</v>
      </c>
      <c r="M35" s="8" t="s">
        <v>45</v>
      </c>
      <c r="N35" s="8" t="s">
        <v>240</v>
      </c>
      <c r="O35" s="11" t="s">
        <v>20</v>
      </c>
      <c r="P35" s="11" t="s">
        <v>20</v>
      </c>
      <c r="Q35" s="11" t="s">
        <v>20</v>
      </c>
      <c r="R35" s="8" t="s">
        <v>20</v>
      </c>
    </row>
    <row r="36" ht="74" customHeight="1" spans="1:18" x14ac:dyDescent="0.25">
      <c r="A36" s="2">
        <v>35</v>
      </c>
      <c r="B36" s="3" t="s">
        <v>18</v>
      </c>
      <c r="C36" s="3" t="s">
        <v>19</v>
      </c>
      <c r="D36" s="3" t="s">
        <v>20</v>
      </c>
      <c r="E36" s="23" t="s">
        <v>46</v>
      </c>
      <c r="F36" s="3" t="s">
        <v>241</v>
      </c>
      <c r="G36" s="3" t="s">
        <v>242</v>
      </c>
      <c r="H36" s="5" t="s">
        <v>243</v>
      </c>
      <c r="I36" s="3" t="s">
        <v>244</v>
      </c>
      <c r="J36" s="3" t="s">
        <v>245</v>
      </c>
      <c r="K36" s="3" t="s">
        <v>20</v>
      </c>
      <c r="L36" s="3" t="s">
        <v>246</v>
      </c>
      <c r="M36" s="3" t="s">
        <v>45</v>
      </c>
      <c r="N36" s="3" t="s">
        <v>46</v>
      </c>
      <c r="O36" s="6" t="s">
        <v>20</v>
      </c>
      <c r="P36" s="6" t="s">
        <v>20</v>
      </c>
      <c r="Q36" s="6" t="s">
        <v>20</v>
      </c>
      <c r="R36" s="3" t="s">
        <v>20</v>
      </c>
    </row>
    <row r="37" ht="74" customHeight="1" spans="1:18" x14ac:dyDescent="0.25">
      <c r="A37" s="7">
        <v>36</v>
      </c>
      <c r="B37" s="8" t="s">
        <v>18</v>
      </c>
      <c r="C37" s="8" t="s">
        <v>19</v>
      </c>
      <c r="D37" s="8" t="s">
        <v>20</v>
      </c>
      <c r="E37" s="22" t="s">
        <v>46</v>
      </c>
      <c r="F37" s="8" t="s">
        <v>247</v>
      </c>
      <c r="G37" s="8" t="s">
        <v>248</v>
      </c>
      <c r="H37" s="10" t="s">
        <v>249</v>
      </c>
      <c r="I37" s="8" t="s">
        <v>250</v>
      </c>
      <c r="J37" s="8" t="s">
        <v>251</v>
      </c>
      <c r="K37" s="8" t="s">
        <v>20</v>
      </c>
      <c r="L37" s="8" t="s">
        <v>158</v>
      </c>
      <c r="M37" s="8" t="s">
        <v>37</v>
      </c>
      <c r="N37" s="8" t="s">
        <v>252</v>
      </c>
      <c r="O37" s="11" t="s">
        <v>20</v>
      </c>
      <c r="P37" s="11" t="s">
        <v>20</v>
      </c>
      <c r="Q37" s="11" t="s">
        <v>20</v>
      </c>
      <c r="R37" s="8" t="s">
        <v>20</v>
      </c>
    </row>
    <row r="38" ht="74" customHeight="1" spans="1:18" x14ac:dyDescent="0.25">
      <c r="A38" s="2">
        <v>37</v>
      </c>
      <c r="B38" s="3" t="s">
        <v>18</v>
      </c>
      <c r="C38" s="3" t="s">
        <v>19</v>
      </c>
      <c r="D38" s="3" t="s">
        <v>20</v>
      </c>
      <c r="E38" s="24" t="s">
        <v>253</v>
      </c>
      <c r="F38" s="3" t="s">
        <v>254</v>
      </c>
      <c r="G38" s="3" t="s">
        <v>255</v>
      </c>
      <c r="H38" s="5" t="s">
        <v>256</v>
      </c>
      <c r="I38" s="3" t="s">
        <v>257</v>
      </c>
      <c r="J38" s="3" t="s">
        <v>258</v>
      </c>
      <c r="K38" s="3" t="s">
        <v>20</v>
      </c>
      <c r="L38" s="3" t="s">
        <v>259</v>
      </c>
      <c r="M38" s="3" t="s">
        <v>29</v>
      </c>
      <c r="N38" s="3" t="s">
        <v>260</v>
      </c>
      <c r="O38" s="6" t="s">
        <v>20</v>
      </c>
      <c r="P38" s="6" t="s">
        <v>20</v>
      </c>
      <c r="Q38" s="6" t="s">
        <v>20</v>
      </c>
      <c r="R38" s="3" t="s">
        <v>20</v>
      </c>
    </row>
    <row r="39" ht="74" customHeight="1" spans="1:18" x14ac:dyDescent="0.25">
      <c r="A39" s="7">
        <v>38</v>
      </c>
      <c r="B39" s="8" t="s">
        <v>18</v>
      </c>
      <c r="C39" s="8" t="s">
        <v>19</v>
      </c>
      <c r="D39" s="8" t="s">
        <v>20</v>
      </c>
      <c r="E39" s="25" t="s">
        <v>253</v>
      </c>
      <c r="F39" s="8" t="s">
        <v>261</v>
      </c>
      <c r="G39" s="8" t="s">
        <v>262</v>
      </c>
      <c r="H39" s="10" t="s">
        <v>263</v>
      </c>
      <c r="I39" s="8" t="s">
        <v>264</v>
      </c>
      <c r="J39" s="8" t="s">
        <v>265</v>
      </c>
      <c r="K39" s="8" t="s">
        <v>20</v>
      </c>
      <c r="L39" s="8" t="s">
        <v>266</v>
      </c>
      <c r="M39" s="8" t="s">
        <v>29</v>
      </c>
      <c r="N39" s="8" t="s">
        <v>267</v>
      </c>
      <c r="O39" s="11" t="s">
        <v>20</v>
      </c>
      <c r="P39" s="11" t="s">
        <v>20</v>
      </c>
      <c r="Q39" s="11" t="s">
        <v>20</v>
      </c>
      <c r="R39" s="8" t="s">
        <v>20</v>
      </c>
    </row>
    <row r="40" ht="74" customHeight="1" spans="1:18" x14ac:dyDescent="0.25">
      <c r="A40" s="2">
        <v>39</v>
      </c>
      <c r="B40" s="3" t="s">
        <v>18</v>
      </c>
      <c r="C40" s="3" t="s">
        <v>19</v>
      </c>
      <c r="D40" s="3" t="s">
        <v>20</v>
      </c>
      <c r="E40" s="24" t="s">
        <v>253</v>
      </c>
      <c r="F40" s="3" t="s">
        <v>268</v>
      </c>
      <c r="G40" s="3" t="s">
        <v>269</v>
      </c>
      <c r="H40" s="5" t="s">
        <v>270</v>
      </c>
      <c r="I40" s="3" t="s">
        <v>271</v>
      </c>
      <c r="J40" s="3" t="s">
        <v>272</v>
      </c>
      <c r="K40" s="3" t="s">
        <v>20</v>
      </c>
      <c r="L40" s="3" t="s">
        <v>158</v>
      </c>
      <c r="M40" s="3" t="s">
        <v>45</v>
      </c>
      <c r="N40" s="3" t="s">
        <v>273</v>
      </c>
      <c r="O40" s="6" t="s">
        <v>20</v>
      </c>
      <c r="P40" s="6" t="s">
        <v>20</v>
      </c>
      <c r="Q40" s="6" t="s">
        <v>20</v>
      </c>
      <c r="R40" s="3" t="s">
        <v>20</v>
      </c>
    </row>
    <row r="41" ht="74" customHeight="1" spans="1:18" x14ac:dyDescent="0.25">
      <c r="A41" s="7">
        <v>40</v>
      </c>
      <c r="B41" s="8" t="s">
        <v>18</v>
      </c>
      <c r="C41" s="8" t="s">
        <v>19</v>
      </c>
      <c r="D41" s="8" t="s">
        <v>20</v>
      </c>
      <c r="E41" s="25" t="s">
        <v>253</v>
      </c>
      <c r="F41" s="8" t="s">
        <v>274</v>
      </c>
      <c r="G41" s="8" t="s">
        <v>275</v>
      </c>
      <c r="H41" s="10" t="s">
        <v>276</v>
      </c>
      <c r="I41" s="8" t="s">
        <v>277</v>
      </c>
      <c r="J41" s="8" t="s">
        <v>278</v>
      </c>
      <c r="K41" s="8" t="s">
        <v>20</v>
      </c>
      <c r="L41" s="8" t="s">
        <v>279</v>
      </c>
      <c r="M41" s="8" t="s">
        <v>29</v>
      </c>
      <c r="N41" s="8" t="s">
        <v>280</v>
      </c>
      <c r="O41" s="11" t="s">
        <v>20</v>
      </c>
      <c r="P41" s="11" t="s">
        <v>20</v>
      </c>
      <c r="Q41" s="11" t="s">
        <v>20</v>
      </c>
      <c r="R41" s="8" t="s">
        <v>20</v>
      </c>
    </row>
    <row r="42" ht="74" customHeight="1" spans="1:18" x14ac:dyDescent="0.25">
      <c r="A42" s="2">
        <v>41</v>
      </c>
      <c r="B42" s="3" t="s">
        <v>18</v>
      </c>
      <c r="C42" s="3" t="s">
        <v>19</v>
      </c>
      <c r="D42" s="3" t="s">
        <v>20</v>
      </c>
      <c r="E42" s="26" t="s">
        <v>281</v>
      </c>
      <c r="F42" s="3" t="s">
        <v>282</v>
      </c>
      <c r="G42" s="3" t="s">
        <v>283</v>
      </c>
      <c r="H42" s="5" t="s">
        <v>284</v>
      </c>
      <c r="I42" s="3" t="s">
        <v>285</v>
      </c>
      <c r="J42" s="3" t="s">
        <v>286</v>
      </c>
      <c r="K42" s="3" t="s">
        <v>20</v>
      </c>
      <c r="L42" s="3" t="s">
        <v>287</v>
      </c>
      <c r="M42" s="3" t="s">
        <v>29</v>
      </c>
      <c r="N42" s="3" t="s">
        <v>288</v>
      </c>
      <c r="O42" s="6" t="s">
        <v>20</v>
      </c>
      <c r="P42" s="6" t="s">
        <v>20</v>
      </c>
      <c r="Q42" s="6" t="s">
        <v>20</v>
      </c>
      <c r="R42" s="3" t="s">
        <v>20</v>
      </c>
    </row>
    <row r="43" ht="74" customHeight="1" spans="1:18" x14ac:dyDescent="0.25">
      <c r="A43" s="7">
        <v>42</v>
      </c>
      <c r="B43" s="8" t="s">
        <v>18</v>
      </c>
      <c r="C43" s="8" t="s">
        <v>19</v>
      </c>
      <c r="D43" s="8" t="s">
        <v>20</v>
      </c>
      <c r="E43" s="27" t="s">
        <v>281</v>
      </c>
      <c r="F43" s="8" t="s">
        <v>289</v>
      </c>
      <c r="G43" s="8" t="s">
        <v>290</v>
      </c>
      <c r="H43" s="10" t="s">
        <v>291</v>
      </c>
      <c r="I43" s="8" t="s">
        <v>292</v>
      </c>
      <c r="J43" s="8" t="s">
        <v>293</v>
      </c>
      <c r="K43" s="8" t="s">
        <v>20</v>
      </c>
      <c r="L43" s="8" t="s">
        <v>294</v>
      </c>
      <c r="M43" s="8" t="s">
        <v>29</v>
      </c>
      <c r="N43" s="8" t="s">
        <v>295</v>
      </c>
      <c r="O43" s="11" t="s">
        <v>20</v>
      </c>
      <c r="P43" s="11" t="s">
        <v>20</v>
      </c>
      <c r="Q43" s="11" t="s">
        <v>20</v>
      </c>
      <c r="R43" s="8" t="s">
        <v>20</v>
      </c>
    </row>
    <row r="44" ht="74" customHeight="1" spans="1:18" x14ac:dyDescent="0.25">
      <c r="A44" s="2">
        <v>43</v>
      </c>
      <c r="B44" s="3" t="s">
        <v>18</v>
      </c>
      <c r="C44" s="3" t="s">
        <v>19</v>
      </c>
      <c r="D44" s="3" t="s">
        <v>20</v>
      </c>
      <c r="E44" s="26" t="s">
        <v>281</v>
      </c>
      <c r="F44" s="3" t="s">
        <v>296</v>
      </c>
      <c r="G44" s="3" t="s">
        <v>297</v>
      </c>
      <c r="H44" s="5" t="s">
        <v>298</v>
      </c>
      <c r="I44" s="3" t="s">
        <v>299</v>
      </c>
      <c r="J44" s="3" t="s">
        <v>300</v>
      </c>
      <c r="K44" s="3" t="s">
        <v>20</v>
      </c>
      <c r="L44" s="3" t="s">
        <v>301</v>
      </c>
      <c r="M44" s="3" t="s">
        <v>29</v>
      </c>
      <c r="N44" s="3" t="s">
        <v>38</v>
      </c>
      <c r="O44" s="6" t="s">
        <v>20</v>
      </c>
      <c r="P44" s="6" t="s">
        <v>20</v>
      </c>
      <c r="Q44" s="6" t="s">
        <v>20</v>
      </c>
      <c r="R44" s="3" t="s">
        <v>20</v>
      </c>
    </row>
    <row r="45" ht="74" customHeight="1" spans="1:18" x14ac:dyDescent="0.25">
      <c r="A45" s="7">
        <v>44</v>
      </c>
      <c r="B45" s="8" t="s">
        <v>18</v>
      </c>
      <c r="C45" s="8" t="s">
        <v>19</v>
      </c>
      <c r="D45" s="8" t="s">
        <v>20</v>
      </c>
      <c r="E45" s="28" t="s">
        <v>302</v>
      </c>
      <c r="F45" s="8" t="s">
        <v>303</v>
      </c>
      <c r="G45" s="8" t="s">
        <v>304</v>
      </c>
      <c r="H45" s="10" t="s">
        <v>305</v>
      </c>
      <c r="I45" s="8" t="s">
        <v>20</v>
      </c>
      <c r="J45" s="8" t="s">
        <v>20</v>
      </c>
      <c r="K45" s="8" t="s">
        <v>20</v>
      </c>
      <c r="L45" s="8" t="s">
        <v>306</v>
      </c>
      <c r="M45" s="8" t="s">
        <v>37</v>
      </c>
      <c r="N45" s="8" t="s">
        <v>307</v>
      </c>
      <c r="O45" s="11" t="s">
        <v>20</v>
      </c>
      <c r="P45" s="11" t="s">
        <v>20</v>
      </c>
      <c r="Q45" s="11" t="s">
        <v>20</v>
      </c>
      <c r="R45" s="8" t="s">
        <v>20</v>
      </c>
    </row>
    <row r="46" ht="74" customHeight="1" spans="1:18" x14ac:dyDescent="0.25">
      <c r="A46" s="2">
        <v>45</v>
      </c>
      <c r="B46" s="3" t="s">
        <v>18</v>
      </c>
      <c r="C46" s="3" t="s">
        <v>19</v>
      </c>
      <c r="D46" s="3" t="s">
        <v>20</v>
      </c>
      <c r="E46" s="29" t="s">
        <v>302</v>
      </c>
      <c r="F46" s="3" t="s">
        <v>303</v>
      </c>
      <c r="G46" s="3" t="s">
        <v>308</v>
      </c>
      <c r="H46" s="5" t="s">
        <v>309</v>
      </c>
      <c r="I46" s="3" t="s">
        <v>20</v>
      </c>
      <c r="J46" s="3" t="s">
        <v>20</v>
      </c>
      <c r="K46" s="3" t="s">
        <v>20</v>
      </c>
      <c r="L46" s="3" t="s">
        <v>310</v>
      </c>
      <c r="M46" s="3" t="s">
        <v>37</v>
      </c>
      <c r="N46" s="3" t="s">
        <v>311</v>
      </c>
      <c r="O46" s="6" t="s">
        <v>20</v>
      </c>
      <c r="P46" s="6" t="s">
        <v>20</v>
      </c>
      <c r="Q46" s="6" t="s">
        <v>20</v>
      </c>
      <c r="R46" s="3" t="s">
        <v>20</v>
      </c>
    </row>
    <row r="47" ht="74" customHeight="1" spans="1:18" x14ac:dyDescent="0.25">
      <c r="A47" s="7">
        <v>46</v>
      </c>
      <c r="B47" s="8" t="s">
        <v>18</v>
      </c>
      <c r="C47" s="8" t="s">
        <v>19</v>
      </c>
      <c r="D47" s="8" t="s">
        <v>20</v>
      </c>
      <c r="E47" s="28" t="s">
        <v>302</v>
      </c>
      <c r="F47" s="8" t="s">
        <v>303</v>
      </c>
      <c r="G47" s="8" t="s">
        <v>312</v>
      </c>
      <c r="H47" s="10" t="s">
        <v>313</v>
      </c>
      <c r="I47" s="8" t="s">
        <v>20</v>
      </c>
      <c r="J47" s="8" t="s">
        <v>20</v>
      </c>
      <c r="K47" s="8" t="s">
        <v>20</v>
      </c>
      <c r="L47" s="8" t="s">
        <v>314</v>
      </c>
      <c r="M47" s="8" t="s">
        <v>37</v>
      </c>
      <c r="N47" s="8" t="s">
        <v>311</v>
      </c>
      <c r="O47" s="11" t="s">
        <v>20</v>
      </c>
      <c r="P47" s="11" t="s">
        <v>20</v>
      </c>
      <c r="Q47" s="11" t="s">
        <v>20</v>
      </c>
      <c r="R47" s="8" t="s">
        <v>20</v>
      </c>
    </row>
    <row r="48" ht="74" customHeight="1" spans="1:18" x14ac:dyDescent="0.25">
      <c r="A48" s="2">
        <v>47</v>
      </c>
      <c r="B48" s="3" t="s">
        <v>18</v>
      </c>
      <c r="C48" s="3" t="s">
        <v>19</v>
      </c>
      <c r="D48" s="3" t="s">
        <v>20</v>
      </c>
      <c r="E48" s="29" t="s">
        <v>302</v>
      </c>
      <c r="F48" s="3" t="s">
        <v>303</v>
      </c>
      <c r="G48" s="3" t="s">
        <v>315</v>
      </c>
      <c r="H48" s="5" t="s">
        <v>316</v>
      </c>
      <c r="I48" s="3" t="s">
        <v>20</v>
      </c>
      <c r="J48" s="3" t="s">
        <v>20</v>
      </c>
      <c r="K48" s="3" t="s">
        <v>20</v>
      </c>
      <c r="L48" s="3" t="s">
        <v>317</v>
      </c>
      <c r="M48" s="3" t="s">
        <v>45</v>
      </c>
      <c r="N48" s="3" t="s">
        <v>318</v>
      </c>
      <c r="O48" s="6" t="s">
        <v>20</v>
      </c>
      <c r="P48" s="6" t="s">
        <v>20</v>
      </c>
      <c r="Q48" s="6" t="s">
        <v>20</v>
      </c>
      <c r="R48" s="3" t="s">
        <v>20</v>
      </c>
    </row>
    <row r="49" ht="74" customHeight="1" spans="1:18" x14ac:dyDescent="0.25">
      <c r="A49" s="7">
        <v>48</v>
      </c>
      <c r="B49" s="8" t="s">
        <v>18</v>
      </c>
      <c r="C49" s="8" t="s">
        <v>19</v>
      </c>
      <c r="D49" s="8" t="s">
        <v>20</v>
      </c>
      <c r="E49" s="28" t="s">
        <v>302</v>
      </c>
      <c r="F49" s="8" t="s">
        <v>303</v>
      </c>
      <c r="G49" s="8" t="s">
        <v>319</v>
      </c>
      <c r="H49" s="10" t="s">
        <v>320</v>
      </c>
      <c r="I49" s="8" t="s">
        <v>20</v>
      </c>
      <c r="J49" s="8" t="s">
        <v>20</v>
      </c>
      <c r="K49" s="8" t="s">
        <v>20</v>
      </c>
      <c r="L49" s="8" t="s">
        <v>317</v>
      </c>
      <c r="M49" s="8" t="s">
        <v>37</v>
      </c>
      <c r="N49" s="8" t="s">
        <v>311</v>
      </c>
      <c r="O49" s="11" t="s">
        <v>20</v>
      </c>
      <c r="P49" s="11" t="s">
        <v>20</v>
      </c>
      <c r="Q49" s="11" t="s">
        <v>20</v>
      </c>
      <c r="R49" s="8" t="s">
        <v>20</v>
      </c>
    </row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</sheetData>
  <autoFilter ref="A1:R1"/>
  <conditionalFormatting sqref="B2:B400">
    <cfRule type="containsText" dxfId="0" priority="1">
      <formula>NOT(ISERROR(SEARCH("Успех",B2)))</formula>
    </cfRule>
    <cfRule type="containsText" dxfId="1" priority="2">
      <formula>NOT(ISERROR(SEARCH("Провал",B2)))</formula>
    </cfRule>
    <cfRule type="containsText" dxfId="2" priority="3">
      <formula>NOT(ISERROR(SEARCH("Опубликовано",B2)))</formula>
    </cfRule>
    <cfRule type="containsText" dxfId="3" priority="4">
      <formula>NOT(ISERROR(SEARCH("Запланировано",B2)))</formula>
    </cfRule>
    <cfRule type="containsText" dxfId="4" priority="5">
      <formula>NOT(ISERROR(SEARCH("Идея",B2)))</formula>
    </cfRule>
  </conditionalFormatting>
  <conditionalFormatting sqref="C2:C400">
    <cfRule type="containsText" dxfId="5" priority="1">
      <formula>NOT(ISERROR(SEARCH("Высокий",C2)))</formula>
    </cfRule>
    <cfRule type="containsText" dxfId="6" priority="2">
      <formula>NOT(ISERROR(SEARCH("Средний",C2)))</formula>
    </cfRule>
    <cfRule type="containsText" dxfId="7" priority="3">
      <formula>NOT(ISERROR(SEARCH("Низкий",C2)))</formula>
    </cfRule>
  </conditionalFormatting>
  <dataValidations count="6">
    <dataValidation type="list" allowBlank="1" sqref="B10:B400">
      <formula1>"Идея,Запланировано,Опубликовано,Успех,Провал"</formula1>
    </dataValidation>
    <dataValidation type="list" allowBlank="1" sqref="B2:B400">
      <formula1>"Идея,Запланировано,Опубликовано,Успех,Провал"</formula1>
    </dataValidation>
    <dataValidation type="list" allowBlank="1" sqref="C10:C400">
      <formula1>"Высокий,Средний,Низкий"</formula1>
    </dataValidation>
    <dataValidation type="list" allowBlank="1" sqref="C2:C400">
      <formula1>"Высокий,Средний,Низкий"</formula1>
    </dataValidation>
    <dataValidation type="list" allowBlank="1" sqref="E10:E400">
      <formula1>"Боль организатора,Хот-тейк,Фича в действии,Тренд / большой футбол,Build in public,Образовательное,Вовлечение,Локальный контекст KZ,Кейс / история,Короткое / цитата"</formula1>
    </dataValidation>
    <dataValidation type="list" allowBlank="1" sqref="E2:E400">
      <formula1>"Боль организатора,Хот-тейк,Фича в действии,Тренд / большой футбол,Build in public,Образовательное,Вовлечение,Локальный контекст KZ,Кейс / история,Короткое / цитата"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FormatPr defaultRowHeight="15" outlineLevelRow="0" outlineLevelCol="0" x14ac:dyDescent="55"/>
  <cols>
    <col min="1" max="1" width="3" customWidth="1"/>
    <col min="2" max="2" width="30" customWidth="1"/>
    <col min="3" max="3" width="15" customWidth="1"/>
    <col min="4" max="5" width="17" customWidth="1"/>
    <col min="6" max="6" width="3" customWidth="1"/>
  </cols>
  <sheetData>
    <row r="2" ht="24" customHeight="1" spans="2:5" x14ac:dyDescent="0.25">
      <c r="B2" s="30" t="s">
        <v>321</v>
      </c>
      <c r="C2" s="30"/>
      <c r="D2" s="30"/>
      <c r="E2" s="30"/>
    </row>
    <row r="3" ht="20" customHeight="1" spans="2:5" x14ac:dyDescent="0.25">
      <c r="B3" s="31" t="s">
        <v>322</v>
      </c>
      <c r="C3" s="31"/>
      <c r="D3" s="31"/>
      <c r="E3" s="31"/>
    </row>
    <row r="4" spans="2:5" x14ac:dyDescent="0.25">
      <c r="B4" s="32" t="s">
        <v>323</v>
      </c>
      <c r="C4" s="32"/>
      <c r="D4" s="32"/>
      <c r="E4" s="32"/>
    </row>
    <row r="5" ht="22" customHeight="1" spans="2:3" x14ac:dyDescent="0.25">
      <c r="B5" s="33" t="s">
        <v>324</v>
      </c>
      <c r="C5" s="34">
        <f>=COUNT(Ветки!A2:A400)</f>
      </c>
    </row>
    <row r="6" ht="22" customHeight="1" spans="2:3" x14ac:dyDescent="0.25">
      <c r="B6" s="33" t="s">
        <v>325</v>
      </c>
      <c r="C6" s="34">
        <f>=COUNTIF(Ветки!B:B,"Опубликовано")+COUNTIF(Ветки!B:B,"Успех")+COUNTIF(Ветки!B:B,"Провал")</f>
      </c>
    </row>
    <row r="7" ht="22" customHeight="1" spans="2:3" x14ac:dyDescent="0.25">
      <c r="B7" s="33" t="s">
        <v>326</v>
      </c>
      <c r="C7" s="34">
        <f>=COUNTIF(Ветки!B:B,"Успех")</f>
      </c>
    </row>
    <row r="8" ht="22" customHeight="1" spans="2:3" x14ac:dyDescent="0.25">
      <c r="B8" s="33" t="s">
        <v>327</v>
      </c>
      <c r="C8" s="34">
        <f>=COUNTIF(Ветки!B:B,"Идея")+COUNTIF(Ветки!B:B,"Запланировано")</f>
      </c>
    </row>
    <row r="9" ht="22" customHeight="1" spans="2:3" x14ac:dyDescent="0.25">
      <c r="B9" s="33" t="s">
        <v>328</v>
      </c>
      <c r="C9" s="35">
        <f>=IFERROR(C7/C6,0)</f>
      </c>
    </row>
    <row r="11" spans="2:5" x14ac:dyDescent="0.25">
      <c r="B11" s="32" t="s">
        <v>329</v>
      </c>
      <c r="C11" s="32"/>
      <c r="D11" s="32"/>
      <c r="E11" s="32"/>
    </row>
    <row r="12" spans="2:5" x14ac:dyDescent="0.25">
      <c r="B12" s="36" t="s">
        <v>4</v>
      </c>
      <c r="C12" s="36" t="s">
        <v>330</v>
      </c>
      <c r="D12" s="36" t="s">
        <v>331</v>
      </c>
      <c r="E12" s="36" t="s">
        <v>332</v>
      </c>
    </row>
    <row r="13" ht="19" customHeight="1" spans="2:5" x14ac:dyDescent="0.25">
      <c r="B13" s="37" t="s">
        <v>21</v>
      </c>
      <c r="C13" s="38">
        <f>=COUNTIF(Ветки!$E:$E,B13)</f>
      </c>
      <c r="D13" s="38">
        <f>=IFERROR(AVERAGEIF(Ветки!$E:$E,B13,Ветки!$O:$O),0)</f>
      </c>
      <c r="E13" s="38">
        <f>=IFERROR(AVERAGEIF(Ветки!$E:$E,B13,Ветки!$Q:$Q),0)</f>
      </c>
    </row>
    <row r="14" ht="19" customHeight="1" spans="2:5" x14ac:dyDescent="0.25">
      <c r="B14" s="39" t="s">
        <v>52</v>
      </c>
      <c r="C14" s="38">
        <f>=COUNTIF(Ветки!$E:$E,B14)</f>
      </c>
      <c r="D14" s="38">
        <f>=IFERROR(AVERAGEIF(Ветки!$E:$E,B14,Ветки!$O:$O),0)</f>
      </c>
      <c r="E14" s="38">
        <f>=IFERROR(AVERAGEIF(Ветки!$E:$E,B14,Ветки!$Q:$Q),0)</f>
      </c>
    </row>
    <row r="15" ht="19" customHeight="1" spans="2:5" x14ac:dyDescent="0.25">
      <c r="B15" s="40" t="s">
        <v>82</v>
      </c>
      <c r="C15" s="38">
        <f>=COUNTIF(Ветки!$E:$E,B15)</f>
      </c>
      <c r="D15" s="38">
        <f>=IFERROR(AVERAGEIF(Ветки!$E:$E,B15,Ветки!$O:$O),0)</f>
      </c>
      <c r="E15" s="38">
        <f>=IFERROR(AVERAGEIF(Ветки!$E:$E,B15,Ветки!$Q:$Q),0)</f>
      </c>
    </row>
    <row r="16" ht="19" customHeight="1" spans="2:5" x14ac:dyDescent="0.25">
      <c r="B16" s="41" t="s">
        <v>125</v>
      </c>
      <c r="C16" s="38">
        <f>=COUNTIF(Ветки!$E:$E,B16)</f>
      </c>
      <c r="D16" s="38">
        <f>=IFERROR(AVERAGEIF(Ветки!$E:$E,B16,Ветки!$O:$O),0)</f>
      </c>
      <c r="E16" s="38">
        <f>=IFERROR(AVERAGEIF(Ветки!$E:$E,B16,Ветки!$Q:$Q),0)</f>
      </c>
    </row>
    <row r="17" ht="19" customHeight="1" spans="2:5" x14ac:dyDescent="0.25">
      <c r="B17" s="42" t="s">
        <v>159</v>
      </c>
      <c r="C17" s="38">
        <f>=COUNTIF(Ветки!$E:$E,B17)</f>
      </c>
      <c r="D17" s="38">
        <f>=IFERROR(AVERAGEIF(Ветки!$E:$E,B17,Ветки!$O:$O),0)</f>
      </c>
      <c r="E17" s="38">
        <f>=IFERROR(AVERAGEIF(Ветки!$E:$E,B17,Ветки!$Q:$Q),0)</f>
      </c>
    </row>
    <row r="18" ht="19" customHeight="1" spans="2:5" x14ac:dyDescent="0.25">
      <c r="B18" s="43" t="s">
        <v>193</v>
      </c>
      <c r="C18" s="38">
        <f>=COUNTIF(Ветки!$E:$E,B18)</f>
      </c>
      <c r="D18" s="38">
        <f>=IFERROR(AVERAGEIF(Ветки!$E:$E,B18,Ветки!$O:$O),0)</f>
      </c>
      <c r="E18" s="38">
        <f>=IFERROR(AVERAGEIF(Ветки!$E:$E,B18,Ветки!$Q:$Q),0)</f>
      </c>
    </row>
    <row r="19" ht="19" customHeight="1" spans="2:5" x14ac:dyDescent="0.25">
      <c r="B19" s="44" t="s">
        <v>46</v>
      </c>
      <c r="C19" s="38">
        <f>=COUNTIF(Ветки!$E:$E,B19)</f>
      </c>
      <c r="D19" s="38">
        <f>=IFERROR(AVERAGEIF(Ветки!$E:$E,B19,Ветки!$O:$O),0)</f>
      </c>
      <c r="E19" s="38">
        <f>=IFERROR(AVERAGEIF(Ветки!$E:$E,B19,Ветки!$Q:$Q),0)</f>
      </c>
    </row>
    <row r="20" ht="19" customHeight="1" spans="2:5" x14ac:dyDescent="0.25">
      <c r="B20" s="45" t="s">
        <v>253</v>
      </c>
      <c r="C20" s="38">
        <f>=COUNTIF(Ветки!$E:$E,B20)</f>
      </c>
      <c r="D20" s="38">
        <f>=IFERROR(AVERAGEIF(Ветки!$E:$E,B20,Ветки!$O:$O),0)</f>
      </c>
      <c r="E20" s="38">
        <f>=IFERROR(AVERAGEIF(Ветки!$E:$E,B20,Ветки!$Q:$Q),0)</f>
      </c>
    </row>
    <row r="21" ht="19" customHeight="1" spans="2:5" x14ac:dyDescent="0.25">
      <c r="B21" s="46" t="s">
        <v>281</v>
      </c>
      <c r="C21" s="38">
        <f>=COUNTIF(Ветки!$E:$E,B21)</f>
      </c>
      <c r="D21" s="38">
        <f>=IFERROR(AVERAGEIF(Ветки!$E:$E,B21,Ветки!$O:$O),0)</f>
      </c>
      <c r="E21" s="38">
        <f>=IFERROR(AVERAGEIF(Ветки!$E:$E,B21,Ветки!$Q:$Q),0)</f>
      </c>
    </row>
    <row r="22" ht="19" customHeight="1" spans="2:5" x14ac:dyDescent="0.25">
      <c r="B22" s="47" t="s">
        <v>302</v>
      </c>
      <c r="C22" s="38">
        <f>=COUNTIF(Ветки!$E:$E,B22)</f>
      </c>
      <c r="D22" s="38">
        <f>=IFERROR(AVERAGEIF(Ветки!$E:$E,B22,Ветки!$O:$O),0)</f>
      </c>
      <c r="E22" s="38">
        <f>=IFERROR(AVERAGEIF(Ветки!$E:$E,B22,Ветки!$Q:$Q),0)</f>
      </c>
    </row>
    <row r="24" spans="2:5" x14ac:dyDescent="0.25">
      <c r="B24" s="32" t="s">
        <v>333</v>
      </c>
      <c r="C24" s="32"/>
      <c r="D24" s="32"/>
      <c r="E24" s="32"/>
    </row>
    <row r="25" ht="18" customHeight="1" spans="2:3" x14ac:dyDescent="0.25">
      <c r="B25" s="48" t="s">
        <v>18</v>
      </c>
      <c r="C25" s="38">
        <f>=COUNTIF(Ветки!B:B,"Идея")</f>
      </c>
    </row>
    <row r="26" ht="18" customHeight="1" spans="2:3" x14ac:dyDescent="0.25">
      <c r="B26" s="48" t="s">
        <v>334</v>
      </c>
      <c r="C26" s="38">
        <f>=COUNTIF(Ветки!B:B,"Запланировано")</f>
      </c>
    </row>
    <row r="27" ht="18" customHeight="1" spans="2:3" x14ac:dyDescent="0.25">
      <c r="B27" s="48" t="s">
        <v>325</v>
      </c>
      <c r="C27" s="38">
        <f>=COUNTIF(Ветки!B:B,"Опубликовано")</f>
      </c>
    </row>
    <row r="28" ht="18" customHeight="1" spans="2:3" x14ac:dyDescent="0.25">
      <c r="B28" s="48" t="s">
        <v>335</v>
      </c>
      <c r="C28" s="38">
        <f>=COUNTIF(Ветки!B:B,"Успех")</f>
      </c>
    </row>
    <row r="29" ht="18" customHeight="1" spans="2:3" x14ac:dyDescent="0.25">
      <c r="B29" s="48" t="s">
        <v>336</v>
      </c>
      <c r="C29" s="38">
        <f>=COUNTIF(Ветки!B:B,"Провал")</f>
      </c>
    </row>
    <row r="31" spans="2:2" x14ac:dyDescent="0.25">
      <c r="B31" s="49" t="s">
        <v>337</v>
      </c>
    </row>
  </sheetData>
  <mergeCells count="5">
    <mergeCell ref="B2:E2"/>
    <mergeCell ref="B3:E3"/>
    <mergeCell ref="B4:E4"/>
    <mergeCell ref="B11:E11"/>
    <mergeCell ref="B24:E24"/>
  </mergeCells>
  <conditionalFormatting sqref="C13:C22">
    <cfRule type="dataBar" priority="1">
      <dataBar>
        <cfvo type="min"/>
        <cfvo type="max"/>
        <color rgb="FF059669"/>
      </dataBar>
      <extLst>
        <ext xmlns:x14="http://schemas.microsoft.com/office/spreadsheetml/2009/9/main" uri="{B025F937-C7B1-47D3-B67F-A62EFF666E3E}">
          <x14:id>{E158482E-40F1-426D-A2CD-8030AB25D892}</x14:id>
        </ext>
      </extLst>
    </cfRule>
  </conditionalFormatting>
  <conditionalFormatting sqref="D13:D22">
    <cfRule type="dataBar" priority="2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{5A9A9B48-F996-44FA-A5FA-EC53E9FBC4B1}</x14:id>
        </ext>
      </extLst>
    </cfRule>
  </conditionalFormatting>
  <hyperlinks>
    <hyperlink ref="B31" r:id="rId1"/>
  </hyperlink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58482E-40F1-426D-A2CD-8030AB25D892}">
            <x14:dataBar minLength="0" maxLength="100">
              <x14:cfvo type="min"/>
              <x14:cfvo type="max"/>
            </x14:dataBar>
          </x14:cfRule>
          <xm:sqref>C13:C22</xm:sqref>
        </x14:conditionalFormatting>
        <x14:conditionalFormatting xmlns:xm="http://schemas.microsoft.com/office/excel/2006/main">
          <x14:cfRule type="dataBar" id="{5A9A9B48-F996-44FA-A5FA-EC53E9FBC4B1}">
            <x14:dataBar minLength="0" maxLength="100">
              <x14:cfvo type="min"/>
              <x14:cfvo type="max"/>
            </x14:dataBar>
          </x14:cfRule>
          <xm:sqref>D13:D22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13" customWidth="1"/>
    <col min="4" max="4" width="12" customWidth="1"/>
    <col min="5" max="6" width="22" customWidth="1"/>
    <col min="7" max="7" width="26" customWidth="1"/>
    <col min="8" max="8" width="46" customWidth="1"/>
    <col min="9" max="10" width="44" customWidth="1"/>
    <col min="11" max="11" width="42" customWidth="1"/>
    <col min="12" max="12" width="36" customWidth="1"/>
    <col min="13" max="13" width="30" customWidth="1"/>
    <col min="14" max="14" width="24" customWidth="1"/>
    <col min="15" max="15" width="12" customWidth="1"/>
    <col min="16" max="16" width="11" customWidth="1"/>
    <col min="17" max="17" width="15" customWidth="1"/>
    <col min="18" max="18" width="26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40" customHeight="1" spans="1:18" x14ac:dyDescent="0.25">
      <c r="A2" s="50" t="s">
        <v>338</v>
      </c>
      <c r="B2" s="50" t="s">
        <v>18</v>
      </c>
      <c r="C2" s="50" t="s">
        <v>19</v>
      </c>
      <c r="D2" s="50" t="s">
        <v>20</v>
      </c>
      <c r="E2" s="50" t="s">
        <v>52</v>
      </c>
      <c r="F2" s="50" t="s">
        <v>339</v>
      </c>
      <c r="G2" s="50" t="s">
        <v>340</v>
      </c>
      <c r="H2" s="50" t="s">
        <v>341</v>
      </c>
      <c r="I2" s="50" t="s">
        <v>342</v>
      </c>
      <c r="J2" s="50" t="s">
        <v>20</v>
      </c>
      <c r="K2" s="50" t="s">
        <v>20</v>
      </c>
      <c r="L2" s="50" t="s">
        <v>343</v>
      </c>
      <c r="M2" s="50" t="s">
        <v>344</v>
      </c>
      <c r="N2" s="50" t="s">
        <v>345</v>
      </c>
      <c r="O2" s="50" t="s">
        <v>20</v>
      </c>
      <c r="P2" s="50" t="s">
        <v>20</v>
      </c>
      <c r="Q2" s="50" t="s">
        <v>20</v>
      </c>
      <c r="R2" s="50" t="s">
        <v>20</v>
      </c>
    </row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</sheetData>
  <autoFilter ref="A1:R1"/>
  <dataValidations count="6">
    <dataValidation type="list" allowBlank="1" sqref="B10:B200">
      <formula1>"Идея,Запланировано,Опубликовано,Успех,Провал"</formula1>
    </dataValidation>
    <dataValidation type="list" allowBlank="1" sqref="B2:B200">
      <formula1>"Идея,Запланировано,Опубликовано,Успех,Провал"</formula1>
    </dataValidation>
    <dataValidation type="list" allowBlank="1" sqref="C10:C200">
      <formula1>"Высокий,Средний,Низкий"</formula1>
    </dataValidation>
    <dataValidation type="list" allowBlank="1" sqref="C2:C200">
      <formula1>"Высокий,Средний,Низкий"</formula1>
    </dataValidation>
    <dataValidation type="list" allowBlank="1" sqref="E10:E200">
      <formula1>"Боль организатора,Хот-тейк,Фича в действии,Тренд / большой футбол,Build in public,Образовательное,Вовлечение,Локальный контекст KZ,Кейс / история,Короткое / цитата"</formula1>
    </dataValidation>
    <dataValidation type="list" allowBlank="1" sqref="E2:E200">
      <formula1>"Боль организатора,Хот-тейк,Фича в действии,Тренд / большой футбол,Build in public,Образовательное,Вовлечение,Локальный контекст KZ,Кейс / история,Короткое / цитата"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30" customWidth="1"/>
    <col min="2" max="2" width="98" customWidth="1"/>
  </cols>
  <sheetData>
    <row r="1" spans="1:1" x14ac:dyDescent="0.25">
      <c r="A1" s="51" t="s">
        <v>346</v>
      </c>
    </row>
    <row r="2" ht="46" customHeight="1" spans="1:1" x14ac:dyDescent="0.25">
      <c r="A2" s="52" t="s">
        <v>347</v>
      </c>
    </row>
    <row r="4" ht="22" customHeight="1" spans="1:2" x14ac:dyDescent="0.25">
      <c r="A4" s="53" t="s">
        <v>348</v>
      </c>
      <c r="B4" s="54" t="s">
        <v>20</v>
      </c>
    </row>
    <row r="5" ht="30" customHeight="1" spans="1:2" x14ac:dyDescent="0.25">
      <c r="A5" s="55" t="s">
        <v>349</v>
      </c>
      <c r="B5" s="56" t="s">
        <v>350</v>
      </c>
    </row>
    <row r="6" ht="30" customHeight="1" spans="1:2" x14ac:dyDescent="0.25">
      <c r="A6" s="55" t="s">
        <v>351</v>
      </c>
      <c r="B6" s="56" t="s">
        <v>352</v>
      </c>
    </row>
    <row r="7" ht="30" customHeight="1" spans="1:2" x14ac:dyDescent="0.25">
      <c r="A7" s="55" t="s">
        <v>353</v>
      </c>
      <c r="B7" s="56" t="s">
        <v>354</v>
      </c>
    </row>
    <row r="8" ht="30" customHeight="1" spans="1:2" x14ac:dyDescent="0.25">
      <c r="A8" s="55" t="s">
        <v>355</v>
      </c>
      <c r="B8" s="56" t="s">
        <v>356</v>
      </c>
    </row>
    <row r="9" ht="30" customHeight="1" spans="1:2" x14ac:dyDescent="0.25">
      <c r="A9" s="55" t="s">
        <v>357</v>
      </c>
      <c r="B9" s="56" t="s">
        <v>358</v>
      </c>
    </row>
    <row r="11" ht="22" customHeight="1" spans="1:2" x14ac:dyDescent="0.25">
      <c r="A11" s="53" t="s">
        <v>359</v>
      </c>
      <c r="B11" s="54" t="s">
        <v>20</v>
      </c>
    </row>
    <row r="12" ht="30" customHeight="1" spans="1:2" x14ac:dyDescent="0.25">
      <c r="A12" s="55" t="s">
        <v>360</v>
      </c>
      <c r="B12" s="56" t="s">
        <v>361</v>
      </c>
    </row>
    <row r="13" ht="30" customHeight="1" spans="1:2" x14ac:dyDescent="0.25">
      <c r="A13" s="55" t="s">
        <v>362</v>
      </c>
      <c r="B13" s="56" t="s">
        <v>363</v>
      </c>
    </row>
    <row r="14" ht="30" customHeight="1" spans="1:2" x14ac:dyDescent="0.25">
      <c r="A14" s="55" t="s">
        <v>364</v>
      </c>
      <c r="B14" s="56" t="s">
        <v>365</v>
      </c>
    </row>
    <row r="15" ht="30" customHeight="1" spans="1:2" x14ac:dyDescent="0.25">
      <c r="A15" s="55" t="s">
        <v>366</v>
      </c>
      <c r="B15" s="56" t="s">
        <v>367</v>
      </c>
    </row>
    <row r="16" ht="30" customHeight="1" spans="1:2" x14ac:dyDescent="0.25">
      <c r="A16" s="55" t="s">
        <v>368</v>
      </c>
      <c r="B16" s="56" t="s">
        <v>369</v>
      </c>
    </row>
    <row r="17" ht="30" customHeight="1" spans="1:2" x14ac:dyDescent="0.25">
      <c r="A17" s="55" t="s">
        <v>370</v>
      </c>
      <c r="B17" s="56" t="s">
        <v>371</v>
      </c>
    </row>
    <row r="19" ht="22" customHeight="1" spans="1:2" x14ac:dyDescent="0.25">
      <c r="A19" s="53" t="s">
        <v>372</v>
      </c>
      <c r="B19" s="54" t="s">
        <v>20</v>
      </c>
    </row>
    <row r="20" ht="30" customHeight="1" spans="1:2" x14ac:dyDescent="0.25">
      <c r="A20" s="55" t="s">
        <v>373</v>
      </c>
      <c r="B20" s="56" t="s">
        <v>374</v>
      </c>
    </row>
    <row r="21" ht="30" customHeight="1" spans="1:2" x14ac:dyDescent="0.25">
      <c r="A21" s="55" t="s">
        <v>375</v>
      </c>
      <c r="B21" s="56" t="s">
        <v>376</v>
      </c>
    </row>
    <row r="22" ht="30" customHeight="1" spans="1:2" x14ac:dyDescent="0.25">
      <c r="A22" s="55" t="s">
        <v>377</v>
      </c>
      <c r="B22" s="56" t="s">
        <v>378</v>
      </c>
    </row>
    <row r="23" ht="30" customHeight="1" spans="1:2" x14ac:dyDescent="0.25">
      <c r="A23" s="55" t="s">
        <v>379</v>
      </c>
      <c r="B23" s="56" t="s">
        <v>380</v>
      </c>
    </row>
    <row r="24" ht="30" customHeight="1" spans="1:2" x14ac:dyDescent="0.25">
      <c r="A24" s="55" t="s">
        <v>381</v>
      </c>
      <c r="B24" s="56" t="s">
        <v>382</v>
      </c>
    </row>
    <row r="26" ht="22" customHeight="1" spans="1:2" x14ac:dyDescent="0.25">
      <c r="A26" s="53" t="s">
        <v>383</v>
      </c>
      <c r="B26" s="54" t="s">
        <v>20</v>
      </c>
    </row>
    <row r="27" ht="18" customHeight="1" spans="1:2" x14ac:dyDescent="0.25">
      <c r="A27" s="57" t="s">
        <v>21</v>
      </c>
      <c r="B27" s="56" t="s">
        <v>20</v>
      </c>
    </row>
    <row r="28" ht="18" customHeight="1" spans="1:2" x14ac:dyDescent="0.25">
      <c r="A28" s="58" t="s">
        <v>52</v>
      </c>
      <c r="B28" s="56" t="s">
        <v>20</v>
      </c>
    </row>
    <row r="29" ht="18" customHeight="1" spans="1:2" x14ac:dyDescent="0.25">
      <c r="A29" s="59" t="s">
        <v>82</v>
      </c>
      <c r="B29" s="56" t="s">
        <v>20</v>
      </c>
    </row>
    <row r="30" ht="18" customHeight="1" spans="1:2" x14ac:dyDescent="0.25">
      <c r="A30" s="60" t="s">
        <v>125</v>
      </c>
      <c r="B30" s="56" t="s">
        <v>20</v>
      </c>
    </row>
    <row r="31" ht="18" customHeight="1" spans="1:2" x14ac:dyDescent="0.25">
      <c r="A31" s="61" t="s">
        <v>159</v>
      </c>
      <c r="B31" s="56" t="s">
        <v>20</v>
      </c>
    </row>
    <row r="32" ht="18" customHeight="1" spans="1:2" x14ac:dyDescent="0.25">
      <c r="A32" s="62" t="s">
        <v>193</v>
      </c>
      <c r="B32" s="56" t="s">
        <v>20</v>
      </c>
    </row>
    <row r="33" ht="18" customHeight="1" spans="1:2" x14ac:dyDescent="0.25">
      <c r="A33" s="63" t="s">
        <v>46</v>
      </c>
      <c r="B33" s="56" t="s">
        <v>20</v>
      </c>
    </row>
    <row r="34" ht="18" customHeight="1" spans="1:2" x14ac:dyDescent="0.25">
      <c r="A34" s="64" t="s">
        <v>253</v>
      </c>
      <c r="B34" s="56" t="s">
        <v>20</v>
      </c>
    </row>
    <row r="35" ht="18" customHeight="1" spans="1:2" x14ac:dyDescent="0.25">
      <c r="A35" s="65" t="s">
        <v>281</v>
      </c>
      <c r="B35" s="56" t="s">
        <v>20</v>
      </c>
    </row>
    <row r="36" ht="18" customHeight="1" spans="1:2" x14ac:dyDescent="0.25">
      <c r="A36" s="66" t="s">
        <v>302</v>
      </c>
      <c r="B36" s="5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Ветки</vt:lpstr>
      <vt:lpstr>Дашборд</vt:lpstr>
      <vt:lpstr>Идеи (бэклог)</vt:lpstr>
      <vt:lpstr>Как вести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Tournable</dc:creator>
  <dc:title/>
  <dc:subject/>
  <dc:description/>
  <cp:keywords/>
  <cp:category/>
  <cp:lastModifiedBy>Unknown</cp:lastModifiedBy>
  <dcterms:created xsi:type="dcterms:W3CDTF">2026-07-17T15:23:22Z</dcterms:created>
  <dcterms:modified xsi:type="dcterms:W3CDTF">2026-07-17T15:23:22Z</dcterms:modified>
</cp:coreProperties>
</file>